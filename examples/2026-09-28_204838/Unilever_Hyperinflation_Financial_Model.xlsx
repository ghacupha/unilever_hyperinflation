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Argentina_Schedules" sheetId="3" state="visible" r:id="rId3"/>
    <sheet name="Turkiye_Schedules" sheetId="4" state="visible" r:id="rId4"/>
    <sheet name="Consolidation" sheetId="5" state="visible" r:id="rId5"/>
    <sheet name="Scenario_Comparison" sheetId="6" state="visible" r:id="rId6"/>
    <sheet name="Validation_2025" sheetId="7" state="visible" r:id="rId7"/>
    <sheet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"/>
    <numFmt numFmtId="166" formatCode="0.0%"/>
    <numFmt numFmtId="167" formatCode="0.00x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595959"/>
      <sz val="10"/>
    </font>
    <font>
      <name val="Calibri"/>
      <color rgb="001F1F1F"/>
      <sz val="10"/>
    </font>
    <font>
      <name val="Calibri"/>
      <b val="1"/>
      <color rgb="00FFFFFF"/>
      <sz val="10"/>
    </font>
    <font>
      <name val="Calibri"/>
      <color rgb="001F4E96"/>
      <sz val="10"/>
    </font>
    <font>
      <name val="Calibri"/>
      <color rgb="0000695C"/>
      <sz val="10"/>
    </font>
    <font>
      <name val="Calibri"/>
      <color rgb="00ED7D31"/>
      <sz val="10"/>
    </font>
    <font>
      <name val="Calibri"/>
      <b val="1"/>
      <color rgb="001F1F1F"/>
      <sz val="10"/>
    </font>
    <font>
      <name val="Calibri"/>
      <b val="1"/>
      <color rgb="00C00000"/>
      <sz val="10"/>
    </font>
    <font>
      <name val="Calibri"/>
      <b val="1"/>
      <color rgb="0000695C"/>
      <sz val="10"/>
    </font>
    <font>
      <name val="Calibri"/>
      <color rgb="00C00000"/>
      <sz val="10"/>
    </font>
    <font>
      <name val="Calibri"/>
      <color rgb="00375623"/>
      <sz val="10"/>
    </font>
    <font>
      <name val="Calibri"/>
      <i val="1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applyAlignment="1" pivotButton="0" quotePrefix="0" xfId="0">
      <alignment horizontal="left" vertical="center"/>
    </xf>
    <xf numFmtId="4" fontId="5" fillId="4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4" fontId="6" fillId="4" borderId="0" applyAlignment="1" pivotButton="0" quotePrefix="0" xfId="0">
      <alignment horizontal="right" vertical="center"/>
    </xf>
    <xf numFmtId="164" fontId="6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4" fontId="3" fillId="4" borderId="0" applyAlignment="1" pivotButton="0" quotePrefix="0" xfId="0">
      <alignment horizontal="right" vertical="center"/>
    </xf>
    <xf numFmtId="165" fontId="3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165" fontId="7" fillId="4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 vertical="center"/>
    </xf>
    <xf numFmtId="164" fontId="9" fillId="4" borderId="0" applyAlignment="1" pivotButton="0" quotePrefix="0" xfId="0">
      <alignment horizontal="right" vertical="center"/>
    </xf>
    <xf numFmtId="0" fontId="10" fillId="4" borderId="0" applyAlignment="1" pivotButton="0" quotePrefix="0" xfId="0">
      <alignment horizontal="left" vertical="center"/>
    </xf>
    <xf numFmtId="164" fontId="10" fillId="4" borderId="0" applyAlignment="1" pivotButton="0" quotePrefix="0" xfId="0">
      <alignment horizontal="right" vertical="center"/>
    </xf>
    <xf numFmtId="166" fontId="3" fillId="4" borderId="0" applyAlignment="1" pivotButton="0" quotePrefix="0" xfId="0">
      <alignment horizontal="right" vertical="center"/>
    </xf>
    <xf numFmtId="167" fontId="3" fillId="4" borderId="0" applyAlignment="1" pivotButton="0" quotePrefix="0" xfId="0">
      <alignment horizontal="right" vertical="center"/>
    </xf>
    <xf numFmtId="0" fontId="11" fillId="4" borderId="0" applyAlignment="1" pivotButton="0" quotePrefix="0" xfId="0">
      <alignment horizontal="left" vertical="center"/>
    </xf>
    <xf numFmtId="164" fontId="11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left" vertical="center"/>
    </xf>
    <xf numFmtId="164" fontId="12" fillId="4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0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90" customWidth="1" min="3" max="3"/>
    <col width="16" customWidth="1" min="4" max="4"/>
    <col width="16" customWidth="1" min="5" max="5"/>
  </cols>
  <sheetData>
    <row r="2" ht="18" customHeight="1">
      <c r="A2" s="1" t="n"/>
      <c r="B2" s="2" t="inlineStr">
        <is>
          <t>Unilever plc — Argentina &amp; Türkiye Hyperinflation Model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C4" s="3" t="inlineStr">
        <is>
          <t>Description</t>
        </is>
      </c>
    </row>
    <row r="5" ht="45" customHeight="1">
      <c r="C5" s="4" t="inlineStr">
        <is>
          <t>CFA Level II Financial Statement Analysis — Multinational Operations reading, illustrated with Unilever plc's real disclosed application of IAS 29 (Financial Reporting in Hyperinflationary Economies) to its Argentina (hyperinflationary since 1 Jul 2018) and Türkiye (hyperinflationary since 1 Jul 2022) subsidiaries. Local subsidiary accounts are a small fictional illustration calibrated to reproduce Unilever's own disclosed 2024 IAS 29 impact figures; see research_output.md.</t>
        </is>
      </c>
    </row>
    <row r="7">
      <c r="C7" s="3" t="inlineStr">
        <is>
          <t>Period</t>
        </is>
      </c>
    </row>
    <row r="8" ht="45" customHeight="1">
      <c r="C8" s="4" t="inlineStr">
        <is>
          <t>2024 (calibrated) + 2025 (rolled-forward validation)</t>
        </is>
      </c>
    </row>
    <row r="10">
      <c r="C10" s="3" t="inlineStr">
        <is>
          <t>Prepared by</t>
        </is>
      </c>
    </row>
    <row r="11" ht="45" customHeight="1">
      <c r="C11" s="4" t="inlineStr">
        <is>
          <t>Hyperinflation Model Generator (bizplan)</t>
        </is>
      </c>
    </row>
    <row r="13">
      <c r="C13" s="3" t="inlineStr">
        <is>
          <t>Classification</t>
        </is>
      </c>
    </row>
    <row r="14" ht="45" customHeight="1">
      <c r="C14" s="4" t="inlineStr">
        <is>
          <t>Illustrative teaching model — not investment advice, not a reproduction of Unilever's actual subsidiary financial statements</t>
        </is>
      </c>
    </row>
    <row r="16" ht="15" customHeight="1">
      <c r="A16" s="5" t="n"/>
      <c r="B16" s="5" t="n"/>
      <c r="C16" s="6" t="inlineStr">
        <is>
          <t>Methodology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 ht="28" customHeight="1">
      <c r="C17" s="4" t="inlineStr">
        <is>
          <t>World A -- plain current-rate method (no inflation restatement): the baseline the IAS 29 impact is measured against -- the 'disappearing plant' case.</t>
        </is>
      </c>
    </row>
    <row r="18" ht="28" customHeight="1">
      <c r="C18" s="4" t="inlineStr">
        <is>
          <t>World B -- US GAAP temporal method (remeasurement): non-monetary items at historical FX, monetary items at current FX, remeasurement gain/loss to income.</t>
        </is>
      </c>
    </row>
    <row r="19" ht="28" customHeight="1">
      <c r="C19" s="4" t="inlineStr">
        <is>
          <t>World C -- actual IFRS treatment: IAS 29 inflation restatement, then IAS 21 translation of the restated figures at the closing rate (Unilever's own policy).</t>
        </is>
      </c>
    </row>
    <row r="20" ht="28" customHeight="1">
      <c r="C20" s="4" t="inlineStr">
        <is>
          <t>See Argentina_Schedules / Turkiye_Schedules for the full restatement chain, Scenario_Comparison for World A/B/C side by side, Validation_2025 for the model's 2025 roll-forward vs. Unilever's real 2025 disclosure.</t>
        </is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43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46" customWidth="1" min="3" max="3"/>
    <col width="16" customWidth="1" min="4" max="4"/>
    <col width="16" customWidth="1" min="5" max="5"/>
  </cols>
  <sheetData>
    <row r="2" ht="18" customHeight="1">
      <c r="A2" s="1" t="n"/>
      <c r="B2" s="2" t="inlineStr">
        <is>
          <t>Assumptions -- Local-Currency Inputs (disclosed/illustrative)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C4" s="7" t="inlineStr"/>
      <c r="D4" s="8" t="inlineStr">
        <is>
          <t>2024</t>
        </is>
      </c>
      <c r="E4" s="8" t="inlineStr">
        <is>
          <t>2025</t>
        </is>
      </c>
    </row>
    <row r="6" ht="15" customHeight="1">
      <c r="A6" s="5" t="n"/>
      <c r="B6" s="5" t="n"/>
      <c r="C6" s="6" t="inlineStr">
        <is>
          <t>ARGENTINA -- ARS (hyperinflationary since 2018-07-01)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 ht="14" customHeight="1">
      <c r="A7" s="9" t="n"/>
      <c r="B7" s="9" t="n"/>
      <c r="C7" s="10" t="inlineStr">
        <is>
          <t>Inflation index -- opening</t>
        </is>
      </c>
      <c r="D7" s="11" t="n">
        <v>100</v>
      </c>
      <c r="E7" s="11" t="n">
        <v>218</v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14" customHeight="1">
      <c r="A8" s="9" t="n"/>
      <c r="B8" s="9" t="n"/>
      <c r="C8" s="10" t="inlineStr">
        <is>
          <t>Inflation index -- closing</t>
        </is>
      </c>
      <c r="D8" s="11" t="n">
        <v>218</v>
      </c>
      <c r="E8" s="11" t="n">
        <v>283.4</v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4" customHeight="1">
      <c r="A9" s="9" t="n"/>
      <c r="B9" s="9" t="n"/>
      <c r="C9" s="10" t="inlineStr">
        <is>
          <t>FX rate -- opening (local/EUR)</t>
        </is>
      </c>
      <c r="D9" s="11" t="n">
        <v>850</v>
      </c>
      <c r="E9" s="11" t="n">
        <v>1010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 ht="14" customHeight="1">
      <c r="A10" s="9" t="n"/>
      <c r="B10" s="9" t="n"/>
      <c r="C10" s="10" t="inlineStr">
        <is>
          <t>FX rate -- closing (local/EUR)</t>
        </is>
      </c>
      <c r="D10" s="11" t="n">
        <v>1010</v>
      </c>
      <c r="E10" s="11" t="n">
        <v>1450.36</v>
      </c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4" customHeight="1">
      <c r="A11" s="9" t="n"/>
      <c r="B11" s="9" t="n"/>
      <c r="C11" s="10" t="inlineStr">
        <is>
          <t>Revenue (nominal, local)</t>
        </is>
      </c>
      <c r="D11" s="12" t="n">
        <v>601159</v>
      </c>
      <c r="E11" s="12" t="n">
        <v>781506.7000000001</v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2" ht="14" customHeight="1">
      <c r="A12" s="9" t="n"/>
      <c r="B12" s="9" t="n"/>
      <c r="C12" s="10" t="inlineStr">
        <is>
          <t>COGS (nominal, local)</t>
        </is>
      </c>
      <c r="D12" s="12" t="n">
        <v>356513.4</v>
      </c>
      <c r="E12" s="12" t="n">
        <v>463467.42</v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" customHeight="1">
      <c r="A13" s="9" t="n"/>
      <c r="B13" s="9" t="n"/>
      <c r="C13" s="10" t="inlineStr">
        <is>
          <t>Opex (nominal, local)</t>
        </is>
      </c>
      <c r="D13" s="12" t="n">
        <v>189757.1</v>
      </c>
      <c r="E13" s="12" t="n">
        <v>246684.23</v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 ht="14" customHeight="1">
      <c r="A14" s="9" t="n"/>
      <c r="B14" s="9" t="n"/>
      <c r="C14" s="10" t="inlineStr">
        <is>
          <t>Depreciation (nominal, local)</t>
        </is>
      </c>
      <c r="D14" s="12" t="n">
        <v>28751.1</v>
      </c>
      <c r="E14" s="12" t="n">
        <v>37376.43</v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4" customHeight="1">
      <c r="A15" s="9" t="n"/>
      <c r="B15" s="9" t="n"/>
      <c r="C15" s="10" t="inlineStr">
        <is>
          <t>Capex (nominal, local)</t>
        </is>
      </c>
      <c r="D15" s="12" t="n">
        <v>31626.2</v>
      </c>
      <c r="E15" s="12" t="n">
        <v>41114.06</v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 ht="14" customHeight="1">
      <c r="A16" s="9" t="n"/>
      <c r="B16" s="9" t="n"/>
      <c r="C16" s="10" t="inlineStr">
        <is>
          <t>Non-monetary assets -- opening (prior-year restated)</t>
        </is>
      </c>
      <c r="D16" s="12" t="n">
        <v>404550.9</v>
      </c>
      <c r="E16" s="12" t="n">
        <v>886166</v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" customHeight="1">
      <c r="A17" s="9" t="n"/>
      <c r="B17" s="9" t="n"/>
      <c r="C17" s="10" t="inlineStr">
        <is>
          <t>Monetary assets -- closing</t>
        </is>
      </c>
      <c r="D17" s="12" t="n">
        <v>250000</v>
      </c>
      <c r="E17" s="12" t="n">
        <v>325000</v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 ht="14" customHeight="1">
      <c r="A18" s="9" t="n"/>
      <c r="B18" s="9" t="n"/>
      <c r="C18" s="10" t="inlineStr">
        <is>
          <t>Monetary liabilities -- closing</t>
        </is>
      </c>
      <c r="D18" s="12" t="n">
        <v>657084.7</v>
      </c>
      <c r="E18" s="12" t="n">
        <v>854210.11</v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4" customHeight="1">
      <c r="A19" s="9" t="n"/>
      <c r="B19" s="9" t="n"/>
      <c r="C19" s="10" t="inlineStr">
        <is>
          <t>Equity -- opening (prior-year restated)</t>
        </is>
      </c>
      <c r="D19" s="12" t="n">
        <v>297500</v>
      </c>
      <c r="E19" s="12" t="n">
        <v>479081.3</v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1" ht="15" customHeight="1">
      <c r="A21" s="5" t="n"/>
      <c r="B21" s="5" t="n"/>
      <c r="C21" s="6" t="inlineStr">
        <is>
          <t>TURKIYE -- TRY (hyperinflationary since 2022-07-01)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 ht="14" customHeight="1">
      <c r="A22" s="9" t="n"/>
      <c r="B22" s="9" t="n"/>
      <c r="C22" s="10" t="inlineStr">
        <is>
          <t>Inflation index -- opening</t>
        </is>
      </c>
      <c r="D22" s="11" t="n">
        <v>100</v>
      </c>
      <c r="E22" s="11" t="n">
        <v>144</v>
      </c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14" customHeight="1">
      <c r="A23" s="9" t="n"/>
      <c r="B23" s="9" t="n"/>
      <c r="C23" s="10" t="inlineStr">
        <is>
          <t>Inflation index -- closing</t>
        </is>
      </c>
      <c r="D23" s="11" t="n">
        <v>144</v>
      </c>
      <c r="E23" s="11" t="n">
        <v>184.32</v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</row>
    <row r="24" ht="14" customHeight="1">
      <c r="A24" s="9" t="n"/>
      <c r="B24" s="9" t="n"/>
      <c r="C24" s="10" t="inlineStr">
        <is>
          <t>FX rate -- opening (local/EUR)</t>
        </is>
      </c>
      <c r="D24" s="11" t="n">
        <v>33.5</v>
      </c>
      <c r="E24" s="11" t="n">
        <v>39.5</v>
      </c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14" customHeight="1">
      <c r="A25" s="9" t="n"/>
      <c r="B25" s="9" t="n"/>
      <c r="C25" s="10" t="inlineStr">
        <is>
          <t>FX rate -- closing (local/EUR)</t>
        </is>
      </c>
      <c r="D25" s="11" t="n">
        <v>39.5</v>
      </c>
      <c r="E25" s="11" t="n">
        <v>53.325</v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</row>
    <row r="26" ht="14" customHeight="1">
      <c r="A26" s="9" t="n"/>
      <c r="B26" s="9" t="n"/>
      <c r="C26" s="10" t="inlineStr">
        <is>
          <t>Revenue (nominal, local)</t>
        </is>
      </c>
      <c r="D26" s="12" t="n">
        <v>64717.7</v>
      </c>
      <c r="E26" s="12" t="n">
        <v>82838.656</v>
      </c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 ht="14" customHeight="1">
      <c r="A27" s="9" t="n"/>
      <c r="B27" s="9" t="n"/>
      <c r="C27" s="10" t="inlineStr">
        <is>
          <t>COGS (nominal, local)</t>
        </is>
      </c>
      <c r="D27" s="12" t="n">
        <v>40983.2</v>
      </c>
      <c r="E27" s="12" t="n">
        <v>47540.512</v>
      </c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</row>
    <row r="28" ht="14" customHeight="1">
      <c r="A28" s="9" t="n"/>
      <c r="B28" s="9" t="n"/>
      <c r="C28" s="10" t="inlineStr">
        <is>
          <t>Opex (nominal, local)</t>
        </is>
      </c>
      <c r="D28" s="12" t="n">
        <v>21813.7</v>
      </c>
      <c r="E28" s="12" t="n">
        <v>25303.892</v>
      </c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</row>
    <row r="29" ht="14" customHeight="1">
      <c r="A29" s="9" t="n"/>
      <c r="B29" s="9" t="n"/>
      <c r="C29" s="10" t="inlineStr">
        <is>
          <t>Depreciation (nominal, local)</t>
        </is>
      </c>
      <c r="D29" s="12" t="n">
        <v>3305.1</v>
      </c>
      <c r="E29" s="12" t="n">
        <v>4230.528</v>
      </c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</row>
    <row r="30" ht="14" customHeight="1">
      <c r="A30" s="9" t="n"/>
      <c r="B30" s="9" t="n"/>
      <c r="C30" s="10" t="inlineStr">
        <is>
          <t>Capex (nominal, local)</t>
        </is>
      </c>
      <c r="D30" s="12" t="n">
        <v>3635.6</v>
      </c>
      <c r="E30" s="12" t="n">
        <v>4653.568</v>
      </c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</row>
    <row r="31" ht="14" customHeight="1">
      <c r="A31" s="9" t="n"/>
      <c r="B31" s="9" t="n"/>
      <c r="C31" s="10" t="inlineStr">
        <is>
          <t>Non-monetary assets -- opening (prior-year restated)</t>
        </is>
      </c>
      <c r="D31" s="12" t="n">
        <v>5685</v>
      </c>
      <c r="E31" s="12" t="n">
        <v>8583</v>
      </c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</row>
    <row r="32" ht="14" customHeight="1">
      <c r="A32" s="9" t="n"/>
      <c r="B32" s="9" t="n"/>
      <c r="C32" s="10" t="inlineStr">
        <is>
          <t>Monetary assets -- closing</t>
        </is>
      </c>
      <c r="D32" s="12" t="n">
        <v>8000</v>
      </c>
      <c r="E32" s="12" t="n">
        <v>10240</v>
      </c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</row>
    <row r="33" ht="14" customHeight="1">
      <c r="A33" s="9" t="n"/>
      <c r="B33" s="9" t="n"/>
      <c r="C33" s="10" t="inlineStr">
        <is>
          <t>Monetary liabilities -- closing</t>
        </is>
      </c>
      <c r="D33" s="12" t="n">
        <v>4302.5</v>
      </c>
      <c r="E33" s="12" t="n">
        <v>5507.2</v>
      </c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</row>
    <row r="34" ht="14" customHeight="1">
      <c r="A34" s="9" t="n"/>
      <c r="B34" s="9" t="n"/>
      <c r="C34" s="10" t="inlineStr">
        <is>
          <t>Equity -- opening (prior-year restated)</t>
        </is>
      </c>
      <c r="D34" s="12" t="n">
        <v>9380</v>
      </c>
      <c r="E34" s="12" t="n">
        <v>12280.5</v>
      </c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</row>
    <row r="36" ht="15" customHeight="1">
      <c r="A36" s="5" t="n"/>
      <c r="B36" s="5" t="n"/>
      <c r="C36" s="6" t="inlineStr">
        <is>
          <t>OTHER GROUP OPERATIONS (EUR, scenario-invariant)</t>
        </is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</row>
    <row r="37" ht="14" customHeight="1">
      <c r="A37" s="9" t="n"/>
      <c r="B37" s="9" t="n"/>
      <c r="C37" s="10" t="inlineStr">
        <is>
          <t>Revenue</t>
        </is>
      </c>
      <c r="D37" s="12" t="n">
        <v>58000</v>
      </c>
      <c r="E37" s="12" t="n">
        <v>58000</v>
      </c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</row>
    <row r="38" ht="14" customHeight="1">
      <c r="A38" s="9" t="n"/>
      <c r="B38" s="9" t="n"/>
      <c r="C38" s="10" t="inlineStr">
        <is>
          <t>COGS</t>
        </is>
      </c>
      <c r="D38" s="12" t="n">
        <v>28000</v>
      </c>
      <c r="E38" s="12" t="n">
        <v>28000</v>
      </c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</row>
    <row r="39" ht="14" customHeight="1">
      <c r="A39" s="9" t="n"/>
      <c r="B39" s="9" t="n"/>
      <c r="C39" s="10" t="inlineStr">
        <is>
          <t>Operating profit</t>
        </is>
      </c>
      <c r="D39" s="12" t="n">
        <v>8500</v>
      </c>
      <c r="E39" s="12" t="n">
        <v>8500</v>
      </c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</row>
    <row r="40" ht="14" customHeight="1">
      <c r="A40" s="9" t="n"/>
      <c r="B40" s="9" t="n"/>
      <c r="C40" s="10" t="inlineStr">
        <is>
          <t>Total assets</t>
        </is>
      </c>
      <c r="D40" s="12" t="n">
        <v>45000</v>
      </c>
      <c r="E40" s="12" t="n">
        <v>45000</v>
      </c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</row>
    <row r="41" ht="14" customHeight="1">
      <c r="A41" s="9" t="n"/>
      <c r="B41" s="9" t="n"/>
      <c r="C41" s="10" t="inlineStr">
        <is>
          <t>Equity</t>
        </is>
      </c>
      <c r="D41" s="12" t="n">
        <v>20000</v>
      </c>
      <c r="E41" s="12" t="n">
        <v>20000</v>
      </c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</row>
    <row r="42" ht="14" customHeight="1">
      <c r="A42" s="9" t="n"/>
      <c r="B42" s="9" t="n"/>
      <c r="C42" s="10" t="inlineStr">
        <is>
          <t>Non-monetary assets</t>
        </is>
      </c>
      <c r="D42" s="12" t="n">
        <v>22000</v>
      </c>
      <c r="E42" s="12" t="n">
        <v>22000</v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</row>
    <row r="43" ht="14" customHeight="1">
      <c r="A43" s="9" t="n"/>
      <c r="B43" s="9" t="n"/>
      <c r="C43" s="10" t="inlineStr">
        <is>
          <t>Monetary gain/(loss)</t>
        </is>
      </c>
      <c r="D43" s="12" t="n">
        <v>0</v>
      </c>
      <c r="E43" s="12" t="n">
        <v>0</v>
      </c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72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52" customWidth="1" min="3" max="3"/>
    <col width="16" customWidth="1" min="4" max="4"/>
    <col width="16" customWidth="1" min="5" max="5"/>
  </cols>
  <sheetData>
    <row r="2" ht="18" customHeight="1">
      <c r="A2" s="1" t="n"/>
      <c r="B2" s="2" t="inlineStr">
        <is>
          <t>Argentina (ARS) -- Hyperinflation Schedule Chain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C4" s="7" t="inlineStr"/>
      <c r="D4" s="8" t="inlineStr">
        <is>
          <t>2024</t>
        </is>
      </c>
      <c r="E4" s="8" t="inlineStr">
        <is>
          <t>2025</t>
        </is>
      </c>
    </row>
    <row r="6" ht="15" customHeight="1">
      <c r="A6" s="5" t="n"/>
      <c r="B6" s="5" t="n"/>
      <c r="C6" s="6" t="inlineStr">
        <is>
          <t>01 -- LOCAL FS (nominal, from Assumptions)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 ht="14" customHeight="1">
      <c r="A7" s="9" t="n"/>
      <c r="B7" s="9" t="n"/>
      <c r="C7" s="13" t="inlineStr">
        <is>
          <t>Inflation index -- opening</t>
        </is>
      </c>
      <c r="D7" s="14">
        <f>'Assumptions'!D7</f>
        <v/>
      </c>
      <c r="E7" s="14">
        <f>'Assumptions'!E7</f>
        <v/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14" customHeight="1">
      <c r="A8" s="9" t="n"/>
      <c r="B8" s="9" t="n"/>
      <c r="C8" s="13" t="inlineStr">
        <is>
          <t>Inflation index -- closing</t>
        </is>
      </c>
      <c r="D8" s="14">
        <f>'Assumptions'!D8</f>
        <v/>
      </c>
      <c r="E8" s="14">
        <f>'Assumptions'!E8</f>
        <v/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4" customHeight="1">
      <c r="A9" s="9" t="n"/>
      <c r="B9" s="9" t="n"/>
      <c r="C9" s="13" t="inlineStr">
        <is>
          <t>FX rate -- opening (local/EUR)</t>
        </is>
      </c>
      <c r="D9" s="14">
        <f>'Assumptions'!D9</f>
        <v/>
      </c>
      <c r="E9" s="14">
        <f>'Assumptions'!E9</f>
        <v/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 ht="14" customHeight="1">
      <c r="A10" s="9" t="n"/>
      <c r="B10" s="9" t="n"/>
      <c r="C10" s="13" t="inlineStr">
        <is>
          <t>FX rate -- closing (local/EUR)</t>
        </is>
      </c>
      <c r="D10" s="14">
        <f>'Assumptions'!D10</f>
        <v/>
      </c>
      <c r="E10" s="14">
        <f>'Assumptions'!E10</f>
        <v/>
      </c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4" customHeight="1">
      <c r="A11" s="9" t="n"/>
      <c r="B11" s="9" t="n"/>
      <c r="C11" s="13" t="inlineStr">
        <is>
          <t>Revenue (nominal, local)</t>
        </is>
      </c>
      <c r="D11" s="15">
        <f>'Assumptions'!D11</f>
        <v/>
      </c>
      <c r="E11" s="15">
        <f>'Assumptions'!E11</f>
        <v/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2" ht="14" customHeight="1">
      <c r="A12" s="9" t="n"/>
      <c r="B12" s="9" t="n"/>
      <c r="C12" s="13" t="inlineStr">
        <is>
          <t>COGS (nominal, local)</t>
        </is>
      </c>
      <c r="D12" s="15">
        <f>'Assumptions'!D12</f>
        <v/>
      </c>
      <c r="E12" s="15">
        <f>'Assumptions'!E12</f>
        <v/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" customHeight="1">
      <c r="A13" s="9" t="n"/>
      <c r="B13" s="9" t="n"/>
      <c r="C13" s="13" t="inlineStr">
        <is>
          <t>Opex (nominal, local)</t>
        </is>
      </c>
      <c r="D13" s="15">
        <f>'Assumptions'!D13</f>
        <v/>
      </c>
      <c r="E13" s="15">
        <f>'Assumptions'!E13</f>
        <v/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 ht="14" customHeight="1">
      <c r="A14" s="9" t="n"/>
      <c r="B14" s="9" t="n"/>
      <c r="C14" s="13" t="inlineStr">
        <is>
          <t>Depreciation (nominal, local)</t>
        </is>
      </c>
      <c r="D14" s="15">
        <f>'Assumptions'!D14</f>
        <v/>
      </c>
      <c r="E14" s="15">
        <f>'Assumptions'!E14</f>
        <v/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4" customHeight="1">
      <c r="A15" s="9" t="n"/>
      <c r="B15" s="9" t="n"/>
      <c r="C15" s="13" t="inlineStr">
        <is>
          <t>Capex (nominal, local)</t>
        </is>
      </c>
      <c r="D15" s="15">
        <f>'Assumptions'!D15</f>
        <v/>
      </c>
      <c r="E15" s="15">
        <f>'Assumptions'!E15</f>
        <v/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 ht="14" customHeight="1">
      <c r="A16" s="9" t="n"/>
      <c r="B16" s="9" t="n"/>
      <c r="C16" s="13" t="inlineStr">
        <is>
          <t>Non-monetary assets -- opening (prior-year restated)</t>
        </is>
      </c>
      <c r="D16" s="15">
        <f>'Assumptions'!D16</f>
        <v/>
      </c>
      <c r="E16" s="15">
        <f>'Assumptions'!E16</f>
        <v/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" customHeight="1">
      <c r="A17" s="9" t="n"/>
      <c r="B17" s="9" t="n"/>
      <c r="C17" s="13" t="inlineStr">
        <is>
          <t>Monetary assets -- closing</t>
        </is>
      </c>
      <c r="D17" s="15">
        <f>'Assumptions'!D17</f>
        <v/>
      </c>
      <c r="E17" s="15">
        <f>'Assumptions'!E17</f>
        <v/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 ht="14" customHeight="1">
      <c r="A18" s="9" t="n"/>
      <c r="B18" s="9" t="n"/>
      <c r="C18" s="13" t="inlineStr">
        <is>
          <t>Monetary liabilities -- closing</t>
        </is>
      </c>
      <c r="D18" s="15">
        <f>'Assumptions'!D18</f>
        <v/>
      </c>
      <c r="E18" s="15">
        <f>'Assumptions'!E18</f>
        <v/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4" customHeight="1">
      <c r="A19" s="9" t="n"/>
      <c r="B19" s="9" t="n"/>
      <c r="C19" s="13" t="inlineStr">
        <is>
          <t>Equity -- opening (prior-year restated)</t>
        </is>
      </c>
      <c r="D19" s="15">
        <f>'Assumptions'!D19</f>
        <v/>
      </c>
      <c r="E19" s="15">
        <f>'Assumptions'!E19</f>
        <v/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1" ht="15" customHeight="1">
      <c r="A21" s="5" t="n"/>
      <c r="B21" s="5" t="n"/>
      <c r="C21" s="6" t="inlineStr">
        <is>
          <t>02 -- INFLATION INDEX &amp; FX (derived)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 ht="14" customHeight="1">
      <c r="A22" s="9" t="n"/>
      <c r="B22" s="9" t="n"/>
      <c r="C22" s="16" t="inlineStr">
        <is>
          <t>Inflation index -- average (geometric mean)</t>
        </is>
      </c>
      <c r="D22" s="17">
        <f>SQRT(D7*D8)</f>
        <v/>
      </c>
      <c r="E22" s="17">
        <f>SQRT(E7*E8)</f>
        <v/>
      </c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14" customHeight="1">
      <c r="A23" s="9" t="n"/>
      <c r="B23" s="9" t="n"/>
      <c r="C23" s="16" t="inlineStr">
        <is>
          <t>FX rate -- average (geometric mean)</t>
        </is>
      </c>
      <c r="D23" s="17">
        <f>SQRT(D9*D10)</f>
        <v/>
      </c>
      <c r="E23" s="17">
        <f>SQRT(E9*E10)</f>
        <v/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</row>
    <row r="24" ht="14" customHeight="1">
      <c r="A24" s="9" t="n"/>
      <c r="B24" s="9" t="n"/>
      <c r="C24" s="16" t="inlineStr">
        <is>
          <t>Restatement factor -- opening vintage (close/open)</t>
        </is>
      </c>
      <c r="D24" s="18">
        <f>D8/D7</f>
        <v/>
      </c>
      <c r="E24" s="18">
        <f>E8/E7</f>
        <v/>
      </c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14" customHeight="1">
      <c r="A25" s="9" t="n"/>
      <c r="B25" s="9" t="n"/>
      <c r="C25" s="16" t="inlineStr">
        <is>
          <t>Restatement factor -- in-year flows (close/avg)</t>
        </is>
      </c>
      <c r="D25" s="18">
        <f>D8/D22</f>
        <v/>
      </c>
      <c r="E25" s="18">
        <f>E8/E22</f>
        <v/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</row>
    <row r="26" ht="14" customHeight="1">
      <c r="A26" s="9" t="n"/>
      <c r="B26" s="9" t="n"/>
      <c r="C26" s="19" t="inlineStr">
        <is>
          <t>Inflation-vs-FX wedge r (=f_avg x fx_avg/fx_close)</t>
        </is>
      </c>
      <c r="D26" s="20">
        <f>D25*D23/D10</f>
        <v/>
      </c>
      <c r="E26" s="20">
        <f>E25*E23/E10</f>
        <v/>
      </c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8" ht="15" customHeight="1">
      <c r="A28" s="5" t="n"/>
      <c r="B28" s="5" t="n"/>
      <c r="C28" s="6" t="inlineStr">
        <is>
          <t>03 -- IAS 29 RESTATEMENT (local currency, year-end purchasing power)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 ht="14" customHeight="1">
      <c r="A29" s="9" t="n"/>
      <c r="B29" s="9" t="n"/>
      <c r="C29" s="16" t="inlineStr">
        <is>
          <t>Revenue, restated</t>
        </is>
      </c>
      <c r="D29" s="21">
        <f>D11*D25</f>
        <v/>
      </c>
      <c r="E29" s="21">
        <f>E11*E25</f>
        <v/>
      </c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</row>
    <row r="30" ht="14" customHeight="1">
      <c r="A30" s="9" t="n"/>
      <c r="B30" s="9" t="n"/>
      <c r="C30" s="16" t="inlineStr">
        <is>
          <t>COGS, restated</t>
        </is>
      </c>
      <c r="D30" s="21">
        <f>D12*D25</f>
        <v/>
      </c>
      <c r="E30" s="21">
        <f>E12*E25</f>
        <v/>
      </c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</row>
    <row r="31" ht="14" customHeight="1">
      <c r="A31" s="9" t="n"/>
      <c r="B31" s="9" t="n"/>
      <c r="C31" s="16" t="inlineStr">
        <is>
          <t>Opex, restated</t>
        </is>
      </c>
      <c r="D31" s="21">
        <f>D13*D25</f>
        <v/>
      </c>
      <c r="E31" s="21">
        <f>E13*E25</f>
        <v/>
      </c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</row>
    <row r="32" ht="14" customHeight="1">
      <c r="A32" s="9" t="n"/>
      <c r="B32" s="9" t="n"/>
      <c r="C32" s="16" t="inlineStr">
        <is>
          <t>Depreciation, restated</t>
        </is>
      </c>
      <c r="D32" s="21">
        <f>D14*D25</f>
        <v/>
      </c>
      <c r="E32" s="21">
        <f>E14*E25</f>
        <v/>
      </c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</row>
    <row r="33" ht="14" customHeight="1">
      <c r="A33" s="9" t="n"/>
      <c r="B33" s="9" t="n"/>
      <c r="C33" s="22" t="inlineStr">
        <is>
          <t>Operating profit, restated</t>
        </is>
      </c>
      <c r="D33" s="23">
        <f>D29-D30-D31-D32</f>
        <v/>
      </c>
      <c r="E33" s="23">
        <f>E29-E30-E31-E32</f>
        <v/>
      </c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</row>
    <row r="34" ht="14" customHeight="1">
      <c r="A34" s="9" t="n"/>
      <c r="B34" s="9" t="n"/>
      <c r="C34" s="16" t="inlineStr">
        <is>
          <t>Non-monetary assets, restated</t>
        </is>
      </c>
      <c r="D34" s="21">
        <f>D16*D24+D15*D25-D32</f>
        <v/>
      </c>
      <c r="E34" s="21">
        <f>E16*E24+E15*E25-E32</f>
        <v/>
      </c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</row>
    <row r="35" ht="14" customHeight="1">
      <c r="A35" s="9" t="n"/>
      <c r="B35" s="9" t="n"/>
      <c r="C35" s="22" t="inlineStr">
        <is>
          <t>Total assets, restated</t>
        </is>
      </c>
      <c r="D35" s="23">
        <f>D34+D17</f>
        <v/>
      </c>
      <c r="E35" s="23">
        <f>E34+E17</f>
        <v/>
      </c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</row>
    <row r="36" ht="14" customHeight="1">
      <c r="A36" s="9" t="n"/>
      <c r="B36" s="9" t="n"/>
      <c r="C36" s="16" t="inlineStr">
        <is>
          <t>Equity (opening), restated</t>
        </is>
      </c>
      <c r="D36" s="21">
        <f>D19*D24</f>
        <v/>
      </c>
      <c r="E36" s="21">
        <f>E19*E24</f>
        <v/>
      </c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</row>
    <row r="37" ht="14" customHeight="1">
      <c r="A37" s="9" t="n"/>
      <c r="B37" s="9" t="n"/>
      <c r="C37" s="24" t="inlineStr">
        <is>
          <t>Net monetary gain/(loss) -- balancing plug</t>
        </is>
      </c>
      <c r="D37" s="25">
        <f>(D35-D18)-D36-D33</f>
        <v/>
      </c>
      <c r="E37" s="25">
        <f>(E35-E18)-E36-E33</f>
        <v/>
      </c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</row>
    <row r="39" ht="15" customHeight="1">
      <c r="A39" s="5" t="n"/>
      <c r="B39" s="5" t="n"/>
      <c r="C39" s="6" t="inlineStr">
        <is>
          <t>04 -- FX TRANSLATION -- World C (IAS 21, closing rate)</t>
        </is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</row>
    <row r="40" ht="14" customHeight="1">
      <c r="A40" s="9" t="n"/>
      <c r="B40" s="9" t="n"/>
      <c r="C40" s="16" t="inlineStr">
        <is>
          <t>Revenue (EUR)</t>
        </is>
      </c>
      <c r="D40" s="21">
        <f>D29/D10</f>
        <v/>
      </c>
      <c r="E40" s="21">
        <f>E29/E10</f>
        <v/>
      </c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</row>
    <row r="41" ht="14" customHeight="1">
      <c r="A41" s="9" t="n"/>
      <c r="B41" s="9" t="n"/>
      <c r="C41" s="16" t="inlineStr">
        <is>
          <t>COGS (EUR)</t>
        </is>
      </c>
      <c r="D41" s="21">
        <f>D30/D10</f>
        <v/>
      </c>
      <c r="E41" s="21">
        <f>E30/E10</f>
        <v/>
      </c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</row>
    <row r="42" ht="14" customHeight="1">
      <c r="A42" s="9" t="n"/>
      <c r="B42" s="9" t="n"/>
      <c r="C42" s="16" t="inlineStr">
        <is>
          <t>Opex (EUR)</t>
        </is>
      </c>
      <c r="D42" s="21">
        <f>D31/D10</f>
        <v/>
      </c>
      <c r="E42" s="21">
        <f>E31/E10</f>
        <v/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</row>
    <row r="43" ht="14" customHeight="1">
      <c r="A43" s="9" t="n"/>
      <c r="B43" s="9" t="n"/>
      <c r="C43" s="16" t="inlineStr">
        <is>
          <t>Depreciation (EUR)</t>
        </is>
      </c>
      <c r="D43" s="21">
        <f>D32/D10</f>
        <v/>
      </c>
      <c r="E43" s="21">
        <f>E32/E10</f>
        <v/>
      </c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</row>
    <row r="44" ht="14" customHeight="1">
      <c r="A44" s="9" t="n"/>
      <c r="B44" s="9" t="n"/>
      <c r="C44" s="22" t="inlineStr">
        <is>
          <t>Operating profit (EUR)</t>
        </is>
      </c>
      <c r="D44" s="23">
        <f>D33/D10</f>
        <v/>
      </c>
      <c r="E44" s="23">
        <f>E33/E10</f>
        <v/>
      </c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</row>
    <row r="45" ht="14" customHeight="1">
      <c r="A45" s="9" t="n"/>
      <c r="B45" s="9" t="n"/>
      <c r="C45" s="22" t="inlineStr">
        <is>
          <t>Total assets (EUR)</t>
        </is>
      </c>
      <c r="D45" s="23">
        <f>D35/D10</f>
        <v/>
      </c>
      <c r="E45" s="23">
        <f>E35/E10</f>
        <v/>
      </c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</row>
    <row r="46" ht="14" customHeight="1">
      <c r="A46" s="9" t="n"/>
      <c r="B46" s="9" t="n"/>
      <c r="C46" s="16" t="inlineStr">
        <is>
          <t>Non-monetary assets (EUR)</t>
        </is>
      </c>
      <c r="D46" s="21">
        <f>D34/D10</f>
        <v/>
      </c>
      <c r="E46" s="21">
        <f>E34/E10</f>
        <v/>
      </c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</row>
    <row r="47" ht="14" customHeight="1">
      <c r="A47" s="9" t="n"/>
      <c r="B47" s="9" t="n"/>
      <c r="C47" s="16" t="inlineStr">
        <is>
          <t>Net monetary gain/(loss) (EUR)</t>
        </is>
      </c>
      <c r="D47" s="21">
        <f>D37/D10</f>
        <v/>
      </c>
      <c r="E47" s="21">
        <f>E37/E10</f>
        <v/>
      </c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</row>
    <row r="49" ht="15" customHeight="1">
      <c r="A49" s="5" t="n"/>
      <c r="B49" s="5" t="n"/>
      <c r="C49" s="6" t="inlineStr">
        <is>
          <t>WORLD A -- Plain Current-Rate (no restatement)</t>
        </is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</row>
    <row r="50" ht="14" customHeight="1">
      <c r="A50" s="9" t="n"/>
      <c r="B50" s="9" t="n"/>
      <c r="C50" s="16" t="inlineStr">
        <is>
          <t>Non-monetary assets, nominal</t>
        </is>
      </c>
      <c r="D50" s="21">
        <f>D16+D15-D14</f>
        <v/>
      </c>
      <c r="E50" s="21">
        <f>E16+E15-E14</f>
        <v/>
      </c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</row>
    <row r="51" ht="14" customHeight="1">
      <c r="A51" s="9" t="n"/>
      <c r="B51" s="9" t="n"/>
      <c r="C51" s="16" t="inlineStr">
        <is>
          <t>Total assets, nominal</t>
        </is>
      </c>
      <c r="D51" s="21">
        <f>D50+D17</f>
        <v/>
      </c>
      <c r="E51" s="21">
        <f>E50+E17</f>
        <v/>
      </c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</row>
    <row r="52" ht="14" customHeight="1">
      <c r="A52" s="9" t="n"/>
      <c r="B52" s="9" t="n"/>
      <c r="C52" s="16" t="inlineStr">
        <is>
          <t>Revenue (EUR)</t>
        </is>
      </c>
      <c r="D52" s="21">
        <f>D11/D23</f>
        <v/>
      </c>
      <c r="E52" s="21">
        <f>E11/E23</f>
        <v/>
      </c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</row>
    <row r="53" ht="14" customHeight="1">
      <c r="A53" s="9" t="n"/>
      <c r="B53" s="9" t="n"/>
      <c r="C53" s="16" t="inlineStr">
        <is>
          <t>COGS (EUR)</t>
        </is>
      </c>
      <c r="D53" s="21">
        <f>D12/D23</f>
        <v/>
      </c>
      <c r="E53" s="21">
        <f>E12/E23</f>
        <v/>
      </c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</row>
    <row r="54" ht="14" customHeight="1">
      <c r="A54" s="9" t="n"/>
      <c r="B54" s="9" t="n"/>
      <c r="C54" s="16" t="inlineStr">
        <is>
          <t>Opex (EUR)</t>
        </is>
      </c>
      <c r="D54" s="21">
        <f>D13/D23</f>
        <v/>
      </c>
      <c r="E54" s="21">
        <f>E13/E23</f>
        <v/>
      </c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</row>
    <row r="55" ht="14" customHeight="1">
      <c r="A55" s="9" t="n"/>
      <c r="B55" s="9" t="n"/>
      <c r="C55" s="16" t="inlineStr">
        <is>
          <t>Depreciation (EUR)</t>
        </is>
      </c>
      <c r="D55" s="21">
        <f>D14/D23</f>
        <v/>
      </c>
      <c r="E55" s="21">
        <f>E14/E23</f>
        <v/>
      </c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</row>
    <row r="56" ht="14" customHeight="1">
      <c r="A56" s="9" t="n"/>
      <c r="B56" s="9" t="n"/>
      <c r="C56" s="22" t="inlineStr">
        <is>
          <t>Operating profit (EUR)</t>
        </is>
      </c>
      <c r="D56" s="23">
        <f>(D11-D12-D13-D14)/D23</f>
        <v/>
      </c>
      <c r="E56" s="23">
        <f>(E11-E12-E13-E14)/E23</f>
        <v/>
      </c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</row>
    <row r="57" ht="14" customHeight="1">
      <c r="A57" s="9" t="n"/>
      <c r="B57" s="9" t="n"/>
      <c r="C57" s="22" t="inlineStr">
        <is>
          <t>Total assets (EUR)</t>
        </is>
      </c>
      <c r="D57" s="23">
        <f>D51/D10</f>
        <v/>
      </c>
      <c r="E57" s="23">
        <f>E51/E10</f>
        <v/>
      </c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</row>
    <row r="58" ht="14" customHeight="1">
      <c r="A58" s="9" t="n"/>
      <c r="B58" s="9" t="n"/>
      <c r="C58" s="16" t="inlineStr">
        <is>
          <t>Net monetary gain/(loss) (EUR)</t>
        </is>
      </c>
      <c r="D58" s="21" t="n">
        <v>0</v>
      </c>
      <c r="E58" s="21" t="n">
        <v>0</v>
      </c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</row>
    <row r="60" ht="15" customHeight="1">
      <c r="A60" s="5" t="n"/>
      <c r="B60" s="5" t="n"/>
      <c r="C60" s="6" t="inlineStr">
        <is>
          <t>WORLD B -- US GAAP Temporal Method (remeasurement)</t>
        </is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</row>
    <row r="61" ht="14" customHeight="1">
      <c r="A61" s="9" t="n"/>
      <c r="B61" s="9" t="n"/>
      <c r="C61" s="16" t="inlineStr">
        <is>
          <t>Non-monetary assets (EUR, historical FX)</t>
        </is>
      </c>
      <c r="D61" s="21">
        <f>D16/D9+D15/D23-D14/D23</f>
        <v/>
      </c>
      <c r="E61" s="21">
        <f>E16/E9+E15/E23-E14/E23</f>
        <v/>
      </c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</row>
    <row r="62" ht="14" customHeight="1">
      <c r="A62" s="9" t="n"/>
      <c r="B62" s="9" t="n"/>
      <c r="C62" s="16" t="inlineStr">
        <is>
          <t>Monetary assets (EUR, current FX)</t>
        </is>
      </c>
      <c r="D62" s="21">
        <f>D17/D10</f>
        <v/>
      </c>
      <c r="E62" s="21">
        <f>E17/E10</f>
        <v/>
      </c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</row>
    <row r="63" ht="14" customHeight="1">
      <c r="A63" s="9" t="n"/>
      <c r="B63" s="9" t="n"/>
      <c r="C63" s="16" t="inlineStr">
        <is>
          <t>Monetary liabilities (EUR, current FX)</t>
        </is>
      </c>
      <c r="D63" s="21">
        <f>D18/D10</f>
        <v/>
      </c>
      <c r="E63" s="21">
        <f>E18/E10</f>
        <v/>
      </c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</row>
    <row r="64" ht="14" customHeight="1">
      <c r="A64" s="9" t="n"/>
      <c r="B64" s="9" t="n"/>
      <c r="C64" s="16" t="inlineStr">
        <is>
          <t>Equity, opening (EUR, historical FX)</t>
        </is>
      </c>
      <c r="D64" s="21">
        <f>D19/D9</f>
        <v/>
      </c>
      <c r="E64" s="21">
        <f>E19/E9</f>
        <v/>
      </c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</row>
    <row r="65" ht="14" customHeight="1">
      <c r="A65" s="9" t="n"/>
      <c r="B65" s="9" t="n"/>
      <c r="C65" s="22" t="inlineStr">
        <is>
          <t>Total assets (EUR)</t>
        </is>
      </c>
      <c r="D65" s="23">
        <f>D61+D62</f>
        <v/>
      </c>
      <c r="E65" s="23">
        <f>E61+E62</f>
        <v/>
      </c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</row>
    <row r="66" ht="14" customHeight="1">
      <c r="A66" s="9" t="n"/>
      <c r="B66" s="9" t="n"/>
      <c r="C66" s="24" t="inlineStr">
        <is>
          <t>Remeasurement gain/(loss) (EUR) -- balancing plug</t>
        </is>
      </c>
      <c r="D66" s="25">
        <f>(D61+D62)-D63-D64-D56</f>
        <v/>
      </c>
      <c r="E66" s="25">
        <f>(E61+E62)-E63-E64-E56</f>
        <v/>
      </c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</row>
    <row r="68" ht="15" customHeight="1">
      <c r="A68" s="5" t="n"/>
      <c r="B68" s="5" t="n"/>
      <c r="C68" s="6" t="inlineStr">
        <is>
          <t>IAS 29 IMPACT (World C minus World A) -- vs. Unilever's own disclosure</t>
        </is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</row>
    <row r="69" ht="14" customHeight="1">
      <c r="A69" s="9" t="n"/>
      <c r="B69" s="9" t="n"/>
      <c r="C69" s="22" t="inlineStr">
        <is>
          <t>Total assets impact</t>
        </is>
      </c>
      <c r="D69" s="23">
        <f>D45-D57</f>
        <v/>
      </c>
      <c r="E69" s="23">
        <f>E45-E57</f>
        <v/>
      </c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</row>
    <row r="70" ht="14" customHeight="1">
      <c r="A70" s="9" t="n"/>
      <c r="B70" s="9" t="n"/>
      <c r="C70" s="22" t="inlineStr">
        <is>
          <t>Turnover impact</t>
        </is>
      </c>
      <c r="D70" s="23">
        <f>D40-D52</f>
        <v/>
      </c>
      <c r="E70" s="23">
        <f>E40-E52</f>
        <v/>
      </c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</row>
    <row r="71" ht="14" customHeight="1">
      <c r="A71" s="9" t="n"/>
      <c r="B71" s="9" t="n"/>
      <c r="C71" s="22" t="inlineStr">
        <is>
          <t>Operating profit impact</t>
        </is>
      </c>
      <c r="D71" s="23">
        <f>D44-D56</f>
        <v/>
      </c>
      <c r="E71" s="23">
        <f>E44-E56</f>
        <v/>
      </c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</row>
    <row r="72" ht="14" customHeight="1">
      <c r="A72" s="9" t="n"/>
      <c r="B72" s="9" t="n"/>
      <c r="C72" s="24" t="inlineStr">
        <is>
          <t>Net monetary gain/(loss)</t>
        </is>
      </c>
      <c r="D72" s="25">
        <f>D47</f>
        <v/>
      </c>
      <c r="E72" s="25">
        <f>E47</f>
        <v/>
      </c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72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52" customWidth="1" min="3" max="3"/>
    <col width="16" customWidth="1" min="4" max="4"/>
    <col width="16" customWidth="1" min="5" max="5"/>
  </cols>
  <sheetData>
    <row r="2" ht="18" customHeight="1">
      <c r="A2" s="1" t="n"/>
      <c r="B2" s="2" t="inlineStr">
        <is>
          <t>Turkiye (TRY) -- Hyperinflation Schedule Chain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C4" s="7" t="inlineStr"/>
      <c r="D4" s="8" t="inlineStr">
        <is>
          <t>2024</t>
        </is>
      </c>
      <c r="E4" s="8" t="inlineStr">
        <is>
          <t>2025</t>
        </is>
      </c>
    </row>
    <row r="6" ht="15" customHeight="1">
      <c r="A6" s="5" t="n"/>
      <c r="B6" s="5" t="n"/>
      <c r="C6" s="6" t="inlineStr">
        <is>
          <t>01 -- LOCAL FS (nominal, from Assumptions)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 ht="14" customHeight="1">
      <c r="A7" s="9" t="n"/>
      <c r="B7" s="9" t="n"/>
      <c r="C7" s="13" t="inlineStr">
        <is>
          <t>Inflation index -- opening</t>
        </is>
      </c>
      <c r="D7" s="14">
        <f>'Assumptions'!D22</f>
        <v/>
      </c>
      <c r="E7" s="14">
        <f>'Assumptions'!E22</f>
        <v/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14" customHeight="1">
      <c r="A8" s="9" t="n"/>
      <c r="B8" s="9" t="n"/>
      <c r="C8" s="13" t="inlineStr">
        <is>
          <t>Inflation index -- closing</t>
        </is>
      </c>
      <c r="D8" s="14">
        <f>'Assumptions'!D23</f>
        <v/>
      </c>
      <c r="E8" s="14">
        <f>'Assumptions'!E23</f>
        <v/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4" customHeight="1">
      <c r="A9" s="9" t="n"/>
      <c r="B9" s="9" t="n"/>
      <c r="C9" s="13" t="inlineStr">
        <is>
          <t>FX rate -- opening (local/EUR)</t>
        </is>
      </c>
      <c r="D9" s="14">
        <f>'Assumptions'!D24</f>
        <v/>
      </c>
      <c r="E9" s="14">
        <f>'Assumptions'!E24</f>
        <v/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 ht="14" customHeight="1">
      <c r="A10" s="9" t="n"/>
      <c r="B10" s="9" t="n"/>
      <c r="C10" s="13" t="inlineStr">
        <is>
          <t>FX rate -- closing (local/EUR)</t>
        </is>
      </c>
      <c r="D10" s="14">
        <f>'Assumptions'!D25</f>
        <v/>
      </c>
      <c r="E10" s="14">
        <f>'Assumptions'!E25</f>
        <v/>
      </c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4" customHeight="1">
      <c r="A11" s="9" t="n"/>
      <c r="B11" s="9" t="n"/>
      <c r="C11" s="13" t="inlineStr">
        <is>
          <t>Revenue (nominal, local)</t>
        </is>
      </c>
      <c r="D11" s="15">
        <f>'Assumptions'!D26</f>
        <v/>
      </c>
      <c r="E11" s="15">
        <f>'Assumptions'!E26</f>
        <v/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2" ht="14" customHeight="1">
      <c r="A12" s="9" t="n"/>
      <c r="B12" s="9" t="n"/>
      <c r="C12" s="13" t="inlineStr">
        <is>
          <t>COGS (nominal, local)</t>
        </is>
      </c>
      <c r="D12" s="15">
        <f>'Assumptions'!D27</f>
        <v/>
      </c>
      <c r="E12" s="15">
        <f>'Assumptions'!E27</f>
        <v/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" customHeight="1">
      <c r="A13" s="9" t="n"/>
      <c r="B13" s="9" t="n"/>
      <c r="C13" s="13" t="inlineStr">
        <is>
          <t>Opex (nominal, local)</t>
        </is>
      </c>
      <c r="D13" s="15">
        <f>'Assumptions'!D28</f>
        <v/>
      </c>
      <c r="E13" s="15">
        <f>'Assumptions'!E28</f>
        <v/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 ht="14" customHeight="1">
      <c r="A14" s="9" t="n"/>
      <c r="B14" s="9" t="n"/>
      <c r="C14" s="13" t="inlineStr">
        <is>
          <t>Depreciation (nominal, local)</t>
        </is>
      </c>
      <c r="D14" s="15">
        <f>'Assumptions'!D29</f>
        <v/>
      </c>
      <c r="E14" s="15">
        <f>'Assumptions'!E29</f>
        <v/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4" customHeight="1">
      <c r="A15" s="9" t="n"/>
      <c r="B15" s="9" t="n"/>
      <c r="C15" s="13" t="inlineStr">
        <is>
          <t>Capex (nominal, local)</t>
        </is>
      </c>
      <c r="D15" s="15">
        <f>'Assumptions'!D30</f>
        <v/>
      </c>
      <c r="E15" s="15">
        <f>'Assumptions'!E30</f>
        <v/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 ht="14" customHeight="1">
      <c r="A16" s="9" t="n"/>
      <c r="B16" s="9" t="n"/>
      <c r="C16" s="13" t="inlineStr">
        <is>
          <t>Non-monetary assets -- opening (prior-year restated)</t>
        </is>
      </c>
      <c r="D16" s="15">
        <f>'Assumptions'!D31</f>
        <v/>
      </c>
      <c r="E16" s="15">
        <f>'Assumptions'!E31</f>
        <v/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" customHeight="1">
      <c r="A17" s="9" t="n"/>
      <c r="B17" s="9" t="n"/>
      <c r="C17" s="13" t="inlineStr">
        <is>
          <t>Monetary assets -- closing</t>
        </is>
      </c>
      <c r="D17" s="15">
        <f>'Assumptions'!D32</f>
        <v/>
      </c>
      <c r="E17" s="15">
        <f>'Assumptions'!E32</f>
        <v/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 ht="14" customHeight="1">
      <c r="A18" s="9" t="n"/>
      <c r="B18" s="9" t="n"/>
      <c r="C18" s="13" t="inlineStr">
        <is>
          <t>Monetary liabilities -- closing</t>
        </is>
      </c>
      <c r="D18" s="15">
        <f>'Assumptions'!D33</f>
        <v/>
      </c>
      <c r="E18" s="15">
        <f>'Assumptions'!E33</f>
        <v/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4" customHeight="1">
      <c r="A19" s="9" t="n"/>
      <c r="B19" s="9" t="n"/>
      <c r="C19" s="13" t="inlineStr">
        <is>
          <t>Equity -- opening (prior-year restated)</t>
        </is>
      </c>
      <c r="D19" s="15">
        <f>'Assumptions'!D34</f>
        <v/>
      </c>
      <c r="E19" s="15">
        <f>'Assumptions'!E34</f>
        <v/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1" ht="15" customHeight="1">
      <c r="A21" s="5" t="n"/>
      <c r="B21" s="5" t="n"/>
      <c r="C21" s="6" t="inlineStr">
        <is>
          <t>02 -- INFLATION INDEX &amp; FX (derived)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 ht="14" customHeight="1">
      <c r="A22" s="9" t="n"/>
      <c r="B22" s="9" t="n"/>
      <c r="C22" s="16" t="inlineStr">
        <is>
          <t>Inflation index -- average (geometric mean)</t>
        </is>
      </c>
      <c r="D22" s="17">
        <f>SQRT(D7*D8)</f>
        <v/>
      </c>
      <c r="E22" s="17">
        <f>SQRT(E7*E8)</f>
        <v/>
      </c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14" customHeight="1">
      <c r="A23" s="9" t="n"/>
      <c r="B23" s="9" t="n"/>
      <c r="C23" s="16" t="inlineStr">
        <is>
          <t>FX rate -- average (geometric mean)</t>
        </is>
      </c>
      <c r="D23" s="17">
        <f>SQRT(D9*D10)</f>
        <v/>
      </c>
      <c r="E23" s="17">
        <f>SQRT(E9*E10)</f>
        <v/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</row>
    <row r="24" ht="14" customHeight="1">
      <c r="A24" s="9" t="n"/>
      <c r="B24" s="9" t="n"/>
      <c r="C24" s="16" t="inlineStr">
        <is>
          <t>Restatement factor -- opening vintage (close/open)</t>
        </is>
      </c>
      <c r="D24" s="18">
        <f>D8/D7</f>
        <v/>
      </c>
      <c r="E24" s="18">
        <f>E8/E7</f>
        <v/>
      </c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14" customHeight="1">
      <c r="A25" s="9" t="n"/>
      <c r="B25" s="9" t="n"/>
      <c r="C25" s="16" t="inlineStr">
        <is>
          <t>Restatement factor -- in-year flows (close/avg)</t>
        </is>
      </c>
      <c r="D25" s="18">
        <f>D8/D22</f>
        <v/>
      </c>
      <c r="E25" s="18">
        <f>E8/E22</f>
        <v/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</row>
    <row r="26" ht="14" customHeight="1">
      <c r="A26" s="9" t="n"/>
      <c r="B26" s="9" t="n"/>
      <c r="C26" s="19" t="inlineStr">
        <is>
          <t>Inflation-vs-FX wedge r (=f_avg x fx_avg/fx_close)</t>
        </is>
      </c>
      <c r="D26" s="20">
        <f>D25*D23/D10</f>
        <v/>
      </c>
      <c r="E26" s="20">
        <f>E25*E23/E10</f>
        <v/>
      </c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8" ht="15" customHeight="1">
      <c r="A28" s="5" t="n"/>
      <c r="B28" s="5" t="n"/>
      <c r="C28" s="6" t="inlineStr">
        <is>
          <t>03 -- IAS 29 RESTATEMENT (local currency, year-end purchasing power)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 ht="14" customHeight="1">
      <c r="A29" s="9" t="n"/>
      <c r="B29" s="9" t="n"/>
      <c r="C29" s="16" t="inlineStr">
        <is>
          <t>Revenue, restated</t>
        </is>
      </c>
      <c r="D29" s="21">
        <f>D11*D25</f>
        <v/>
      </c>
      <c r="E29" s="21">
        <f>E11*E25</f>
        <v/>
      </c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</row>
    <row r="30" ht="14" customHeight="1">
      <c r="A30" s="9" t="n"/>
      <c r="B30" s="9" t="n"/>
      <c r="C30" s="16" t="inlineStr">
        <is>
          <t>COGS, restated</t>
        </is>
      </c>
      <c r="D30" s="21">
        <f>D12*D25</f>
        <v/>
      </c>
      <c r="E30" s="21">
        <f>E12*E25</f>
        <v/>
      </c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</row>
    <row r="31" ht="14" customHeight="1">
      <c r="A31" s="9" t="n"/>
      <c r="B31" s="9" t="n"/>
      <c r="C31" s="16" t="inlineStr">
        <is>
          <t>Opex, restated</t>
        </is>
      </c>
      <c r="D31" s="21">
        <f>D13*D25</f>
        <v/>
      </c>
      <c r="E31" s="21">
        <f>E13*E25</f>
        <v/>
      </c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</row>
    <row r="32" ht="14" customHeight="1">
      <c r="A32" s="9" t="n"/>
      <c r="B32" s="9" t="n"/>
      <c r="C32" s="16" t="inlineStr">
        <is>
          <t>Depreciation, restated</t>
        </is>
      </c>
      <c r="D32" s="21">
        <f>D14*D25</f>
        <v/>
      </c>
      <c r="E32" s="21">
        <f>E14*E25</f>
        <v/>
      </c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</row>
    <row r="33" ht="14" customHeight="1">
      <c r="A33" s="9" t="n"/>
      <c r="B33" s="9" t="n"/>
      <c r="C33" s="22" t="inlineStr">
        <is>
          <t>Operating profit, restated</t>
        </is>
      </c>
      <c r="D33" s="23">
        <f>D29-D30-D31-D32</f>
        <v/>
      </c>
      <c r="E33" s="23">
        <f>E29-E30-E31-E32</f>
        <v/>
      </c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</row>
    <row r="34" ht="14" customHeight="1">
      <c r="A34" s="9" t="n"/>
      <c r="B34" s="9" t="n"/>
      <c r="C34" s="16" t="inlineStr">
        <is>
          <t>Non-monetary assets, restated</t>
        </is>
      </c>
      <c r="D34" s="21">
        <f>D16*D24+D15*D25-D32</f>
        <v/>
      </c>
      <c r="E34" s="21">
        <f>E16*E24+E15*E25-E32</f>
        <v/>
      </c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</row>
    <row r="35" ht="14" customHeight="1">
      <c r="A35" s="9" t="n"/>
      <c r="B35" s="9" t="n"/>
      <c r="C35" s="22" t="inlineStr">
        <is>
          <t>Total assets, restated</t>
        </is>
      </c>
      <c r="D35" s="23">
        <f>D34+D17</f>
        <v/>
      </c>
      <c r="E35" s="23">
        <f>E34+E17</f>
        <v/>
      </c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</row>
    <row r="36" ht="14" customHeight="1">
      <c r="A36" s="9" t="n"/>
      <c r="B36" s="9" t="n"/>
      <c r="C36" s="16" t="inlineStr">
        <is>
          <t>Equity (opening), restated</t>
        </is>
      </c>
      <c r="D36" s="21">
        <f>D19*D24</f>
        <v/>
      </c>
      <c r="E36" s="21">
        <f>E19*E24</f>
        <v/>
      </c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</row>
    <row r="37" ht="14" customHeight="1">
      <c r="A37" s="9" t="n"/>
      <c r="B37" s="9" t="n"/>
      <c r="C37" s="24" t="inlineStr">
        <is>
          <t>Net monetary gain/(loss) -- balancing plug</t>
        </is>
      </c>
      <c r="D37" s="25">
        <f>(D35-D18)-D36-D33</f>
        <v/>
      </c>
      <c r="E37" s="25">
        <f>(E35-E18)-E36-E33</f>
        <v/>
      </c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</row>
    <row r="39" ht="15" customHeight="1">
      <c r="A39" s="5" t="n"/>
      <c r="B39" s="5" t="n"/>
      <c r="C39" s="6" t="inlineStr">
        <is>
          <t>04 -- FX TRANSLATION -- World C (IAS 21, closing rate)</t>
        </is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</row>
    <row r="40" ht="14" customHeight="1">
      <c r="A40" s="9" t="n"/>
      <c r="B40" s="9" t="n"/>
      <c r="C40" s="16" t="inlineStr">
        <is>
          <t>Revenue (EUR)</t>
        </is>
      </c>
      <c r="D40" s="21">
        <f>D29/D10</f>
        <v/>
      </c>
      <c r="E40" s="21">
        <f>E29/E10</f>
        <v/>
      </c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</row>
    <row r="41" ht="14" customHeight="1">
      <c r="A41" s="9" t="n"/>
      <c r="B41" s="9" t="n"/>
      <c r="C41" s="16" t="inlineStr">
        <is>
          <t>COGS (EUR)</t>
        </is>
      </c>
      <c r="D41" s="21">
        <f>D30/D10</f>
        <v/>
      </c>
      <c r="E41" s="21">
        <f>E30/E10</f>
        <v/>
      </c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</row>
    <row r="42" ht="14" customHeight="1">
      <c r="A42" s="9" t="n"/>
      <c r="B42" s="9" t="n"/>
      <c r="C42" s="16" t="inlineStr">
        <is>
          <t>Opex (EUR)</t>
        </is>
      </c>
      <c r="D42" s="21">
        <f>D31/D10</f>
        <v/>
      </c>
      <c r="E42" s="21">
        <f>E31/E10</f>
        <v/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</row>
    <row r="43" ht="14" customHeight="1">
      <c r="A43" s="9" t="n"/>
      <c r="B43" s="9" t="n"/>
      <c r="C43" s="16" t="inlineStr">
        <is>
          <t>Depreciation (EUR)</t>
        </is>
      </c>
      <c r="D43" s="21">
        <f>D32/D10</f>
        <v/>
      </c>
      <c r="E43" s="21">
        <f>E32/E10</f>
        <v/>
      </c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</row>
    <row r="44" ht="14" customHeight="1">
      <c r="A44" s="9" t="n"/>
      <c r="B44" s="9" t="n"/>
      <c r="C44" s="22" t="inlineStr">
        <is>
          <t>Operating profit (EUR)</t>
        </is>
      </c>
      <c r="D44" s="23">
        <f>D33/D10</f>
        <v/>
      </c>
      <c r="E44" s="23">
        <f>E33/E10</f>
        <v/>
      </c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</row>
    <row r="45" ht="14" customHeight="1">
      <c r="A45" s="9" t="n"/>
      <c r="B45" s="9" t="n"/>
      <c r="C45" s="22" t="inlineStr">
        <is>
          <t>Total assets (EUR)</t>
        </is>
      </c>
      <c r="D45" s="23">
        <f>D35/D10</f>
        <v/>
      </c>
      <c r="E45" s="23">
        <f>E35/E10</f>
        <v/>
      </c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</row>
    <row r="46" ht="14" customHeight="1">
      <c r="A46" s="9" t="n"/>
      <c r="B46" s="9" t="n"/>
      <c r="C46" s="16" t="inlineStr">
        <is>
          <t>Non-monetary assets (EUR)</t>
        </is>
      </c>
      <c r="D46" s="21">
        <f>D34/D10</f>
        <v/>
      </c>
      <c r="E46" s="21">
        <f>E34/E10</f>
        <v/>
      </c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</row>
    <row r="47" ht="14" customHeight="1">
      <c r="A47" s="9" t="n"/>
      <c r="B47" s="9" t="n"/>
      <c r="C47" s="16" t="inlineStr">
        <is>
          <t>Net monetary gain/(loss) (EUR)</t>
        </is>
      </c>
      <c r="D47" s="21">
        <f>D37/D10</f>
        <v/>
      </c>
      <c r="E47" s="21">
        <f>E37/E10</f>
        <v/>
      </c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</row>
    <row r="49" ht="15" customHeight="1">
      <c r="A49" s="5" t="n"/>
      <c r="B49" s="5" t="n"/>
      <c r="C49" s="6" t="inlineStr">
        <is>
          <t>WORLD A -- Plain Current-Rate (no restatement)</t>
        </is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</row>
    <row r="50" ht="14" customHeight="1">
      <c r="A50" s="9" t="n"/>
      <c r="B50" s="9" t="n"/>
      <c r="C50" s="16" t="inlineStr">
        <is>
          <t>Non-monetary assets, nominal</t>
        </is>
      </c>
      <c r="D50" s="21">
        <f>D16+D15-D14</f>
        <v/>
      </c>
      <c r="E50" s="21">
        <f>E16+E15-E14</f>
        <v/>
      </c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</row>
    <row r="51" ht="14" customHeight="1">
      <c r="A51" s="9" t="n"/>
      <c r="B51" s="9" t="n"/>
      <c r="C51" s="16" t="inlineStr">
        <is>
          <t>Total assets, nominal</t>
        </is>
      </c>
      <c r="D51" s="21">
        <f>D50+D17</f>
        <v/>
      </c>
      <c r="E51" s="21">
        <f>E50+E17</f>
        <v/>
      </c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</row>
    <row r="52" ht="14" customHeight="1">
      <c r="A52" s="9" t="n"/>
      <c r="B52" s="9" t="n"/>
      <c r="C52" s="16" t="inlineStr">
        <is>
          <t>Revenue (EUR)</t>
        </is>
      </c>
      <c r="D52" s="21">
        <f>D11/D23</f>
        <v/>
      </c>
      <c r="E52" s="21">
        <f>E11/E23</f>
        <v/>
      </c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</row>
    <row r="53" ht="14" customHeight="1">
      <c r="A53" s="9" t="n"/>
      <c r="B53" s="9" t="n"/>
      <c r="C53" s="16" t="inlineStr">
        <is>
          <t>COGS (EUR)</t>
        </is>
      </c>
      <c r="D53" s="21">
        <f>D12/D23</f>
        <v/>
      </c>
      <c r="E53" s="21">
        <f>E12/E23</f>
        <v/>
      </c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</row>
    <row r="54" ht="14" customHeight="1">
      <c r="A54" s="9" t="n"/>
      <c r="B54" s="9" t="n"/>
      <c r="C54" s="16" t="inlineStr">
        <is>
          <t>Opex (EUR)</t>
        </is>
      </c>
      <c r="D54" s="21">
        <f>D13/D23</f>
        <v/>
      </c>
      <c r="E54" s="21">
        <f>E13/E23</f>
        <v/>
      </c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</row>
    <row r="55" ht="14" customHeight="1">
      <c r="A55" s="9" t="n"/>
      <c r="B55" s="9" t="n"/>
      <c r="C55" s="16" t="inlineStr">
        <is>
          <t>Depreciation (EUR)</t>
        </is>
      </c>
      <c r="D55" s="21">
        <f>D14/D23</f>
        <v/>
      </c>
      <c r="E55" s="21">
        <f>E14/E23</f>
        <v/>
      </c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</row>
    <row r="56" ht="14" customHeight="1">
      <c r="A56" s="9" t="n"/>
      <c r="B56" s="9" t="n"/>
      <c r="C56" s="22" t="inlineStr">
        <is>
          <t>Operating profit (EUR)</t>
        </is>
      </c>
      <c r="D56" s="23">
        <f>(D11-D12-D13-D14)/D23</f>
        <v/>
      </c>
      <c r="E56" s="23">
        <f>(E11-E12-E13-E14)/E23</f>
        <v/>
      </c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</row>
    <row r="57" ht="14" customHeight="1">
      <c r="A57" s="9" t="n"/>
      <c r="B57" s="9" t="n"/>
      <c r="C57" s="22" t="inlineStr">
        <is>
          <t>Total assets (EUR)</t>
        </is>
      </c>
      <c r="D57" s="23">
        <f>D51/D10</f>
        <v/>
      </c>
      <c r="E57" s="23">
        <f>E51/E10</f>
        <v/>
      </c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</row>
    <row r="58" ht="14" customHeight="1">
      <c r="A58" s="9" t="n"/>
      <c r="B58" s="9" t="n"/>
      <c r="C58" s="16" t="inlineStr">
        <is>
          <t>Net monetary gain/(loss) (EUR)</t>
        </is>
      </c>
      <c r="D58" s="21" t="n">
        <v>0</v>
      </c>
      <c r="E58" s="21" t="n">
        <v>0</v>
      </c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</row>
    <row r="60" ht="15" customHeight="1">
      <c r="A60" s="5" t="n"/>
      <c r="B60" s="5" t="n"/>
      <c r="C60" s="6" t="inlineStr">
        <is>
          <t>WORLD B -- US GAAP Temporal Method (remeasurement)</t>
        </is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</row>
    <row r="61" ht="14" customHeight="1">
      <c r="A61" s="9" t="n"/>
      <c r="B61" s="9" t="n"/>
      <c r="C61" s="16" t="inlineStr">
        <is>
          <t>Non-monetary assets (EUR, historical FX)</t>
        </is>
      </c>
      <c r="D61" s="21">
        <f>D16/D9+D15/D23-D14/D23</f>
        <v/>
      </c>
      <c r="E61" s="21">
        <f>E16/E9+E15/E23-E14/E23</f>
        <v/>
      </c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</row>
    <row r="62" ht="14" customHeight="1">
      <c r="A62" s="9" t="n"/>
      <c r="B62" s="9" t="n"/>
      <c r="C62" s="16" t="inlineStr">
        <is>
          <t>Monetary assets (EUR, current FX)</t>
        </is>
      </c>
      <c r="D62" s="21">
        <f>D17/D10</f>
        <v/>
      </c>
      <c r="E62" s="21">
        <f>E17/E10</f>
        <v/>
      </c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</row>
    <row r="63" ht="14" customHeight="1">
      <c r="A63" s="9" t="n"/>
      <c r="B63" s="9" t="n"/>
      <c r="C63" s="16" t="inlineStr">
        <is>
          <t>Monetary liabilities (EUR, current FX)</t>
        </is>
      </c>
      <c r="D63" s="21">
        <f>D18/D10</f>
        <v/>
      </c>
      <c r="E63" s="21">
        <f>E18/E10</f>
        <v/>
      </c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</row>
    <row r="64" ht="14" customHeight="1">
      <c r="A64" s="9" t="n"/>
      <c r="B64" s="9" t="n"/>
      <c r="C64" s="16" t="inlineStr">
        <is>
          <t>Equity, opening (EUR, historical FX)</t>
        </is>
      </c>
      <c r="D64" s="21">
        <f>D19/D9</f>
        <v/>
      </c>
      <c r="E64" s="21">
        <f>E19/E9</f>
        <v/>
      </c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</row>
    <row r="65" ht="14" customHeight="1">
      <c r="A65" s="9" t="n"/>
      <c r="B65" s="9" t="n"/>
      <c r="C65" s="22" t="inlineStr">
        <is>
          <t>Total assets (EUR)</t>
        </is>
      </c>
      <c r="D65" s="23">
        <f>D61+D62</f>
        <v/>
      </c>
      <c r="E65" s="23">
        <f>E61+E62</f>
        <v/>
      </c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</row>
    <row r="66" ht="14" customHeight="1">
      <c r="A66" s="9" t="n"/>
      <c r="B66" s="9" t="n"/>
      <c r="C66" s="24" t="inlineStr">
        <is>
          <t>Remeasurement gain/(loss) (EUR) -- balancing plug</t>
        </is>
      </c>
      <c r="D66" s="25">
        <f>(D61+D62)-D63-D64-D56</f>
        <v/>
      </c>
      <c r="E66" s="25">
        <f>(E61+E62)-E63-E64-E56</f>
        <v/>
      </c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</row>
    <row r="68" ht="15" customHeight="1">
      <c r="A68" s="5" t="n"/>
      <c r="B68" s="5" t="n"/>
      <c r="C68" s="6" t="inlineStr">
        <is>
          <t>IAS 29 IMPACT (World C minus World A) -- vs. Unilever's own disclosure</t>
        </is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</row>
    <row r="69" ht="14" customHeight="1">
      <c r="A69" s="9" t="n"/>
      <c r="B69" s="9" t="n"/>
      <c r="C69" s="22" t="inlineStr">
        <is>
          <t>Total assets impact</t>
        </is>
      </c>
      <c r="D69" s="23">
        <f>D45-D57</f>
        <v/>
      </c>
      <c r="E69" s="23">
        <f>E45-E57</f>
        <v/>
      </c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</row>
    <row r="70" ht="14" customHeight="1">
      <c r="A70" s="9" t="n"/>
      <c r="B70" s="9" t="n"/>
      <c r="C70" s="22" t="inlineStr">
        <is>
          <t>Turnover impact</t>
        </is>
      </c>
      <c r="D70" s="23">
        <f>D40-D52</f>
        <v/>
      </c>
      <c r="E70" s="23">
        <f>E40-E52</f>
        <v/>
      </c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</row>
    <row r="71" ht="14" customHeight="1">
      <c r="A71" s="9" t="n"/>
      <c r="B71" s="9" t="n"/>
      <c r="C71" s="22" t="inlineStr">
        <is>
          <t>Operating profit impact</t>
        </is>
      </c>
      <c r="D71" s="23">
        <f>D44-D56</f>
        <v/>
      </c>
      <c r="E71" s="23">
        <f>E44-E56</f>
        <v/>
      </c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</row>
    <row r="72" ht="14" customHeight="1">
      <c r="A72" s="9" t="n"/>
      <c r="B72" s="9" t="n"/>
      <c r="C72" s="24" t="inlineStr">
        <is>
          <t>Net monetary gain/(loss)</t>
        </is>
      </c>
      <c r="D72" s="25">
        <f>D47</f>
        <v/>
      </c>
      <c r="E72" s="25">
        <f>E47</f>
        <v/>
      </c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</row>
  </sheetData>
  <mergeCells count="1">
    <mergeCell ref="B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15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46" customWidth="1" min="3" max="3"/>
    <col width="16" customWidth="1" min="4" max="4"/>
    <col width="16" customWidth="1" min="5" max="5"/>
  </cols>
  <sheetData>
    <row r="2" ht="18" customHeight="1">
      <c r="A2" s="1" t="n"/>
      <c r="B2" s="2" t="inlineStr">
        <is>
          <t>05 -- Parent Consolidation (World C -- actual IFRS treatment)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C4" s="7" t="inlineStr"/>
      <c r="D4" s="8" t="inlineStr">
        <is>
          <t>2024</t>
        </is>
      </c>
      <c r="E4" s="8" t="inlineStr">
        <is>
          <t>2025</t>
        </is>
      </c>
    </row>
    <row r="6" ht="14" customHeight="1">
      <c r="A6" s="9" t="n"/>
      <c r="B6" s="9" t="n"/>
      <c r="C6" s="13" t="inlineStr">
        <is>
          <t>Revenue</t>
        </is>
      </c>
      <c r="D6" s="15">
        <f>'Argentina_Schedules'!D40+'Turkiye_Schedules'!D40+'Assumptions'!D37</f>
        <v/>
      </c>
      <c r="E6" s="15">
        <f>'Argentina_Schedules'!E40+'Turkiye_Schedules'!E40+'Assumptions'!E37</f>
        <v/>
      </c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4" customHeight="1">
      <c r="A7" s="9" t="n"/>
      <c r="B7" s="9" t="n"/>
      <c r="C7" s="13" t="inlineStr">
        <is>
          <t>COGS</t>
        </is>
      </c>
      <c r="D7" s="15">
        <f>'Argentina_Schedules'!D41+'Turkiye_Schedules'!D41+'Assumptions'!D38</f>
        <v/>
      </c>
      <c r="E7" s="15">
        <f>'Argentina_Schedules'!E41+'Turkiye_Schedules'!E41+'Assumptions'!E38</f>
        <v/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14" customHeight="1">
      <c r="A8" s="9" t="n"/>
      <c r="B8" s="9" t="n"/>
      <c r="C8" s="26" t="inlineStr">
        <is>
          <t>Operating profit</t>
        </is>
      </c>
      <c r="D8" s="27">
        <f>'Argentina_Schedules'!D44+'Turkiye_Schedules'!D44+'Assumptions'!D39</f>
        <v/>
      </c>
      <c r="E8" s="27">
        <f>'Argentina_Schedules'!E44+'Turkiye_Schedules'!E44+'Assumptions'!E39</f>
        <v/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4" customHeight="1">
      <c r="A9" s="9" t="n"/>
      <c r="B9" s="9" t="n"/>
      <c r="C9" s="26" t="inlineStr">
        <is>
          <t>Total assets</t>
        </is>
      </c>
      <c r="D9" s="27">
        <f>'Argentina_Schedules'!D45+'Turkiye_Schedules'!D45+'Assumptions'!D40</f>
        <v/>
      </c>
      <c r="E9" s="27">
        <f>'Argentina_Schedules'!E45+'Turkiye_Schedules'!E45+'Assumptions'!E40</f>
        <v/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 ht="14" customHeight="1">
      <c r="A10" s="9" t="n"/>
      <c r="B10" s="9" t="n"/>
      <c r="C10" s="13" t="inlineStr">
        <is>
          <t>Non-monetary assets</t>
        </is>
      </c>
      <c r="D10" s="15">
        <f>'Argentina_Schedules'!D46+'Turkiye_Schedules'!D46+'Assumptions'!D42</f>
        <v/>
      </c>
      <c r="E10" s="15">
        <f>'Argentina_Schedules'!E46+'Turkiye_Schedules'!E46+'Assumptions'!E42</f>
        <v/>
      </c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4" customHeight="1">
      <c r="A11" s="9" t="n"/>
      <c r="B11" s="9" t="n"/>
      <c r="C11" s="13" t="inlineStr">
        <is>
          <t>Net monetary gain/(loss)</t>
        </is>
      </c>
      <c r="D11" s="15">
        <f>'Argentina_Schedules'!D47+'Turkiye_Schedules'!D47+'Assumptions'!D43</f>
        <v/>
      </c>
      <c r="E11" s="15">
        <f>'Argentina_Schedules'!E47+'Turkiye_Schedules'!E47+'Assumptions'!E43</f>
        <v/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3" ht="15" customHeight="1">
      <c r="A13" s="5" t="n"/>
      <c r="B13" s="5" t="n"/>
      <c r="C13" s="6" t="inlineStr">
        <is>
          <t>GROUP RATIOS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 ht="14" customHeight="1">
      <c r="A14" s="9" t="n"/>
      <c r="B14" s="9" t="n"/>
      <c r="C14" s="16" t="inlineStr">
        <is>
          <t>Return on assets (Op. profit / Total assets)</t>
        </is>
      </c>
      <c r="D14" s="28">
        <f>D8/D9</f>
        <v/>
      </c>
      <c r="E14" s="28">
        <f>E8/E9</f>
        <v/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4" customHeight="1">
      <c r="A15" s="9" t="n"/>
      <c r="B15" s="9" t="n"/>
      <c r="C15" s="16" t="inlineStr">
        <is>
          <t>Asset turnover (Revenue / Total assets)</t>
        </is>
      </c>
      <c r="D15" s="29">
        <f>D6/D9</f>
        <v/>
      </c>
      <c r="E15" s="29">
        <f>E6/E9</f>
        <v/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P20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40" customWidth="1" min="3" max="3"/>
    <col width="15" customWidth="1" min="4" max="4"/>
    <col width="15" customWidth="1" min="5" max="5"/>
    <col width="15" customWidth="1" min="6" max="6"/>
  </cols>
  <sheetData>
    <row r="2" ht="18" customHeight="1">
      <c r="A2" s="1" t="n"/>
      <c r="B2" s="2" t="inlineStr">
        <is>
          <t>World A / B / C Side-by-Side -- Argentina + Turkiye Combined (hyperinflationary subsidiaries only; see Consolidation for the full group)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 ht="15" customHeight="1">
      <c r="A4" s="5" t="n"/>
      <c r="B4" s="5" t="n"/>
      <c r="C4" s="6" t="inlineStr">
        <is>
          <t>YEAR 2024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C5" s="7" t="inlineStr"/>
      <c r="D5" s="8" t="inlineStr">
        <is>
          <t>World A -- Current Rate</t>
        </is>
      </c>
      <c r="E5" s="8" t="inlineStr">
        <is>
          <t>World B -- US GAAP Temporal</t>
        </is>
      </c>
      <c r="F5" s="8" t="inlineStr">
        <is>
          <t>World C -- IFRS (IAS29+21)</t>
        </is>
      </c>
    </row>
    <row r="6" ht="14" customHeight="1">
      <c r="A6" s="9" t="n"/>
      <c r="B6" s="9" t="n"/>
      <c r="C6" s="22" t="inlineStr">
        <is>
          <t>Revenue</t>
        </is>
      </c>
      <c r="D6" s="23">
        <f>'Argentina_Schedules'!D52+'Turkiye_Schedules'!D52</f>
        <v/>
      </c>
      <c r="E6" s="23">
        <f>'Argentina_Schedules'!D52+'Turkiye_Schedules'!D52</f>
        <v/>
      </c>
      <c r="F6" s="23">
        <f>'Argentina_Schedules'!D40+'Turkiye_Schedules'!D40</f>
        <v/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4" customHeight="1">
      <c r="A7" s="9" t="n"/>
      <c r="B7" s="9" t="n"/>
      <c r="C7" s="22" t="inlineStr">
        <is>
          <t>COGS</t>
        </is>
      </c>
      <c r="D7" s="23">
        <f>'Argentina_Schedules'!D53+'Turkiye_Schedules'!D53</f>
        <v/>
      </c>
      <c r="E7" s="23">
        <f>'Argentina_Schedules'!D53+'Turkiye_Schedules'!D53</f>
        <v/>
      </c>
      <c r="F7" s="23">
        <f>'Argentina_Schedules'!D41+'Turkiye_Schedules'!D41</f>
        <v/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14" customHeight="1">
      <c r="A8" s="9" t="n"/>
      <c r="B8" s="9" t="n"/>
      <c r="C8" s="22" t="inlineStr">
        <is>
          <t>Operating profit</t>
        </is>
      </c>
      <c r="D8" s="23">
        <f>'Argentina_Schedules'!D56+'Turkiye_Schedules'!D56</f>
        <v/>
      </c>
      <c r="E8" s="23">
        <f>'Argentina_Schedules'!D56+'Turkiye_Schedules'!D56</f>
        <v/>
      </c>
      <c r="F8" s="23">
        <f>'Argentina_Schedules'!D44+'Turkiye_Schedules'!D44</f>
        <v/>
      </c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4" customHeight="1">
      <c r="A9" s="9" t="n"/>
      <c r="B9" s="9" t="n"/>
      <c r="C9" s="22" t="inlineStr">
        <is>
          <t>Non-monetary assets (PPE etc.)</t>
        </is>
      </c>
      <c r="D9" s="23">
        <f>'Argentina_Schedules'!D50/'Argentina_Schedules'!D10+'Turkiye_Schedules'!D50/'Turkiye_Schedules'!D10</f>
        <v/>
      </c>
      <c r="E9" s="23">
        <f>'Argentina_Schedules'!D61+'Turkiye_Schedules'!D61</f>
        <v/>
      </c>
      <c r="F9" s="23">
        <f>'Argentina_Schedules'!D46+'Turkiye_Schedules'!D46</f>
        <v/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 ht="14" customHeight="1">
      <c r="A10" s="9" t="n"/>
      <c r="B10" s="9" t="n"/>
      <c r="C10" s="22" t="inlineStr">
        <is>
          <t>Total assets</t>
        </is>
      </c>
      <c r="D10" s="23">
        <f>'Argentina_Schedules'!D57+'Turkiye_Schedules'!D57</f>
        <v/>
      </c>
      <c r="E10" s="23">
        <f>'Argentina_Schedules'!D65+'Turkiye_Schedules'!D65</f>
        <v/>
      </c>
      <c r="F10" s="23">
        <f>'Argentina_Schedules'!D45+'Turkiye_Schedules'!D45</f>
        <v/>
      </c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4" customHeight="1">
      <c r="A11" s="9" t="n"/>
      <c r="B11" s="9" t="n"/>
      <c r="C11" s="22" t="inlineStr">
        <is>
          <t>Net monetary / remeasurement gain-(loss)</t>
        </is>
      </c>
      <c r="D11" s="23">
        <f>'Argentina_Schedules'!D58+'Turkiye_Schedules'!D58</f>
        <v/>
      </c>
      <c r="E11" s="23">
        <f>'Argentina_Schedules'!D66+'Turkiye_Schedules'!D66</f>
        <v/>
      </c>
      <c r="F11" s="23">
        <f>'Argentina_Schedules'!D47+'Turkiye_Schedules'!D47</f>
        <v/>
      </c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3" ht="15" customHeight="1">
      <c r="A13" s="5" t="n"/>
      <c r="B13" s="5" t="n"/>
      <c r="C13" s="6" t="inlineStr">
        <is>
          <t>YEAR 2025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C14" s="7" t="inlineStr"/>
      <c r="D14" s="8" t="inlineStr">
        <is>
          <t>World A -- Current Rate</t>
        </is>
      </c>
      <c r="E14" s="8" t="inlineStr">
        <is>
          <t>World B -- US GAAP Temporal</t>
        </is>
      </c>
      <c r="F14" s="8" t="inlineStr">
        <is>
          <t>World C -- IFRS (IAS29+21)</t>
        </is>
      </c>
    </row>
    <row r="15" ht="14" customHeight="1">
      <c r="A15" s="9" t="n"/>
      <c r="B15" s="9" t="n"/>
      <c r="C15" s="22" t="inlineStr">
        <is>
          <t>Revenue</t>
        </is>
      </c>
      <c r="D15" s="23">
        <f>'Argentina_Schedules'!E52+'Turkiye_Schedules'!E52</f>
        <v/>
      </c>
      <c r="E15" s="23">
        <f>'Argentina_Schedules'!E52+'Turkiye_Schedules'!E52</f>
        <v/>
      </c>
      <c r="F15" s="23">
        <f>'Argentina_Schedules'!E40+'Turkiye_Schedules'!E40</f>
        <v/>
      </c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 ht="14" customHeight="1">
      <c r="A16" s="9" t="n"/>
      <c r="B16" s="9" t="n"/>
      <c r="C16" s="22" t="inlineStr">
        <is>
          <t>COGS</t>
        </is>
      </c>
      <c r="D16" s="23">
        <f>'Argentina_Schedules'!E53+'Turkiye_Schedules'!E53</f>
        <v/>
      </c>
      <c r="E16" s="23">
        <f>'Argentina_Schedules'!E53+'Turkiye_Schedules'!E53</f>
        <v/>
      </c>
      <c r="F16" s="23">
        <f>'Argentina_Schedules'!E41+'Turkiye_Schedules'!E41</f>
        <v/>
      </c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" customHeight="1">
      <c r="A17" s="9" t="n"/>
      <c r="B17" s="9" t="n"/>
      <c r="C17" s="22" t="inlineStr">
        <is>
          <t>Operating profit</t>
        </is>
      </c>
      <c r="D17" s="23">
        <f>'Argentina_Schedules'!E56+'Turkiye_Schedules'!E56</f>
        <v/>
      </c>
      <c r="E17" s="23">
        <f>'Argentina_Schedules'!E56+'Turkiye_Schedules'!E56</f>
        <v/>
      </c>
      <c r="F17" s="23">
        <f>'Argentina_Schedules'!E44+'Turkiye_Schedules'!E44</f>
        <v/>
      </c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 ht="14" customHeight="1">
      <c r="A18" s="9" t="n"/>
      <c r="B18" s="9" t="n"/>
      <c r="C18" s="22" t="inlineStr">
        <is>
          <t>Non-monetary assets (PPE etc.)</t>
        </is>
      </c>
      <c r="D18" s="23">
        <f>'Argentina_Schedules'!E50/'Argentina_Schedules'!E10+'Turkiye_Schedules'!E50/'Turkiye_Schedules'!E10</f>
        <v/>
      </c>
      <c r="E18" s="23">
        <f>'Argentina_Schedules'!E61+'Turkiye_Schedules'!E61</f>
        <v/>
      </c>
      <c r="F18" s="23">
        <f>'Argentina_Schedules'!E46+'Turkiye_Schedules'!E46</f>
        <v/>
      </c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4" customHeight="1">
      <c r="A19" s="9" t="n"/>
      <c r="B19" s="9" t="n"/>
      <c r="C19" s="22" t="inlineStr">
        <is>
          <t>Total assets</t>
        </is>
      </c>
      <c r="D19" s="23">
        <f>'Argentina_Schedules'!E57+'Turkiye_Schedules'!E57</f>
        <v/>
      </c>
      <c r="E19" s="23">
        <f>'Argentina_Schedules'!E65+'Turkiye_Schedules'!E65</f>
        <v/>
      </c>
      <c r="F19" s="23">
        <f>'Argentina_Schedules'!E45+'Turkiye_Schedules'!E45</f>
        <v/>
      </c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0" ht="14" customHeight="1">
      <c r="A20" s="9" t="n"/>
      <c r="B20" s="9" t="n"/>
      <c r="C20" s="22" t="inlineStr">
        <is>
          <t>Net monetary / remeasurement gain-(loss)</t>
        </is>
      </c>
      <c r="D20" s="23">
        <f>'Argentina_Schedules'!E58+'Turkiye_Schedules'!E58</f>
        <v/>
      </c>
      <c r="E20" s="23">
        <f>'Argentina_Schedules'!E66+'Turkiye_Schedules'!E66</f>
        <v/>
      </c>
      <c r="F20" s="23">
        <f>'Argentina_Schedules'!E47+'Turkiye_Schedules'!E47</f>
        <v/>
      </c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</sheetData>
  <mergeCells count="1">
    <mergeCell ref="B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P17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2" ht="18" customHeight="1">
      <c r="A2" s="1" t="n"/>
      <c r="B2" s="2" t="inlineStr">
        <is>
          <t>Model 2025 Roll-Forward vs. Unilever's Real 2025 Disclosure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D4" s="8" t="inlineStr">
        <is>
          <t>Model</t>
        </is>
      </c>
      <c r="E4" s="8" t="inlineStr">
        <is>
          <t>Disclosed</t>
        </is>
      </c>
      <c r="F4" s="8" t="inlineStr">
        <is>
          <t>Gap (Model-Disclosed)</t>
        </is>
      </c>
    </row>
    <row r="5" ht="15" customHeight="1">
      <c r="A5" s="5" t="n"/>
      <c r="B5" s="5" t="n"/>
      <c r="C5" s="6" t="inlineStr">
        <is>
          <t>ARGENTINA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 ht="14" customHeight="1">
      <c r="A6" s="9" t="n"/>
      <c r="B6" s="9" t="n"/>
      <c r="C6" s="30" t="inlineStr">
        <is>
          <t>Total assets impact</t>
        </is>
      </c>
      <c r="D6" s="31" t="n">
        <v>183.6604180162951</v>
      </c>
      <c r="E6" s="31" t="n">
        <v>-199</v>
      </c>
      <c r="F6" s="31" t="n">
        <v>382.6604180162951</v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4" customHeight="1">
      <c r="A7" s="9" t="n"/>
      <c r="B7" s="9" t="n"/>
      <c r="C7" s="32" t="inlineStr">
        <is>
          <t>Turnover impact</t>
        </is>
      </c>
      <c r="D7" s="33" t="n">
        <v>-31.33697093335445</v>
      </c>
      <c r="E7" s="33" t="n">
        <v>-90</v>
      </c>
      <c r="F7" s="33" t="n">
        <v>58.66302906664555</v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14" customHeight="1">
      <c r="A8" s="9" t="n"/>
      <c r="B8" s="9" t="n"/>
      <c r="C8" s="32" t="inlineStr">
        <is>
          <t>Operating profit impact</t>
        </is>
      </c>
      <c r="D8" s="33" t="n">
        <v>-1.362479716802788</v>
      </c>
      <c r="E8" s="33" t="n">
        <v>-54</v>
      </c>
      <c r="F8" s="33" t="n">
        <v>52.63752028319721</v>
      </c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4" customHeight="1">
      <c r="A9" s="9" t="n"/>
      <c r="B9" s="9" t="n"/>
      <c r="C9" s="32" t="inlineStr">
        <is>
          <t>Net monetary gain/(loss)</t>
        </is>
      </c>
      <c r="D9" s="33" t="n">
        <v>-23.77343116789523</v>
      </c>
      <c r="E9" s="33" t="n">
        <v>-46</v>
      </c>
      <c r="F9" s="33" t="n">
        <v>22.22656883210477</v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1" ht="15" customHeight="1">
      <c r="A11" s="5" t="n"/>
      <c r="B11" s="5" t="n"/>
      <c r="C11" s="6" t="inlineStr">
        <is>
          <t>TURKIYE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 ht="14" customHeight="1">
      <c r="A12" s="9" t="n"/>
      <c r="B12" s="9" t="n"/>
      <c r="C12" s="30" t="inlineStr">
        <is>
          <t>Total assets impact</t>
        </is>
      </c>
      <c r="D12" s="31" t="n">
        <v>46.1099882670614</v>
      </c>
      <c r="E12" s="31" t="n">
        <v>-20</v>
      </c>
      <c r="F12" s="31" t="n">
        <v>66.1099882670614</v>
      </c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" customHeight="1">
      <c r="A13" s="9" t="n"/>
      <c r="B13" s="9" t="n"/>
      <c r="C13" s="32" t="inlineStr">
        <is>
          <t>Turnover impact</t>
        </is>
      </c>
      <c r="D13" s="33" t="n">
        <v>-47.41828204208241</v>
      </c>
      <c r="E13" s="33" t="n">
        <v>-16</v>
      </c>
      <c r="F13" s="33" t="n">
        <v>-31.41828204208241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 ht="14" customHeight="1">
      <c r="A14" s="9" t="n"/>
      <c r="B14" s="9" t="n"/>
      <c r="C14" s="32" t="inlineStr">
        <is>
          <t>Operating profit impact</t>
        </is>
      </c>
      <c r="D14" s="33" t="n">
        <v>-3.29925548580519</v>
      </c>
      <c r="E14" s="33" t="n">
        <v>-46</v>
      </c>
      <c r="F14" s="33" t="n">
        <v>42.70074451419481</v>
      </c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4" customHeight="1">
      <c r="A15" s="9" t="n"/>
      <c r="B15" s="9" t="n"/>
      <c r="C15" s="32" t="inlineStr">
        <is>
          <t>Net monetary gain/(loss)</t>
        </is>
      </c>
      <c r="D15" s="33" t="n">
        <v>-113.3107209773876</v>
      </c>
      <c r="E15" s="33" t="n">
        <v>-10</v>
      </c>
      <c r="F15" s="33" t="n">
        <v>-103.3107209773876</v>
      </c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7" ht="40" customHeight="1">
      <c r="C17" s="34" t="inlineStr">
        <is>
          <t>See examples/unilever/research_output.md for full discussion of why total-assets impact structurally cannot flip sign in this model, and why Turkiye's 2025 operating-profit assumption differs from a pure roll-forward.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P15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46" customWidth="1" min="3" max="3"/>
    <col width="30" customWidth="1" min="4" max="4"/>
    <col width="22" customWidth="1" min="5" max="5"/>
    <col width="14" customWidth="1" min="6" max="6"/>
    <col width="50" customWidth="1" min="7" max="7"/>
  </cols>
  <sheetData>
    <row r="2" ht="18" customHeight="1">
      <c r="A2" s="1" t="n"/>
      <c r="B2" s="2" t="inlineStr">
        <is>
          <t>Sources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C4" s="6" t="inlineStr">
        <is>
          <t>Item</t>
        </is>
      </c>
      <c r="D4" s="6" t="inlineStr">
        <is>
          <t>Value</t>
        </is>
      </c>
      <c r="E4" s="6" t="inlineStr">
        <is>
          <t>Source</t>
        </is>
      </c>
      <c r="F4" s="6" t="inlineStr">
        <is>
          <t>Accessed</t>
        </is>
      </c>
      <c r="G4" s="6" t="inlineStr">
        <is>
          <t>URL</t>
        </is>
      </c>
    </row>
    <row r="5" ht="28" customHeight="1">
      <c r="C5" s="4" t="inlineStr">
        <is>
          <t>Unilever plc — 2024 Annual Report on Form 20-F (hyperinflation accounting policy note)</t>
        </is>
      </c>
      <c r="D5" s="4" t="inlineStr">
        <is>
          <t>Argentina/Türkiye 2024 IAS29 impact table</t>
        </is>
      </c>
      <c r="E5" s="35" t="inlineStr">
        <is>
          <t>U.S. SEC EDGAR</t>
        </is>
      </c>
      <c r="F5" s="35" t="inlineStr">
        <is>
          <t>2026-09-27</t>
        </is>
      </c>
      <c r="G5" s="4" t="inlineStr">
        <is>
          <t>https://www.sec.gov/Archives/edgar/data/217410/000021741025000015/ul-20241231.htm</t>
        </is>
      </c>
    </row>
    <row r="6" ht="28" customHeight="1">
      <c r="C6" s="4" t="inlineStr">
        <is>
          <t>Unilever plc — 2025 Annual Report on Form 20-F (hyperinflation accounting policy note)</t>
        </is>
      </c>
      <c r="D6" s="4" t="inlineStr">
        <is>
          <t>Argentina/Türkiye 2025 IAS29 impact table</t>
        </is>
      </c>
      <c r="E6" s="35" t="inlineStr">
        <is>
          <t>U.S. SEC EDGAR</t>
        </is>
      </c>
      <c r="F6" s="35" t="inlineStr">
        <is>
          <t>2026-09-27</t>
        </is>
      </c>
      <c r="G6" s="4" t="inlineStr">
        <is>
          <t>https://www.sec.gov/Archives/edgar/data/217410/000021741026000007/ul-20251231.htm</t>
        </is>
      </c>
    </row>
    <row r="7" ht="28" customHeight="1">
      <c r="C7" s="4" t="inlineStr">
        <is>
          <t>Unilever plc — Annual Report and Accounts 2025 (Excel workbook)</t>
        </is>
      </c>
      <c r="D7" s="4" t="inlineStr">
        <is>
          <t>Consolidated financial statements</t>
        </is>
      </c>
      <c r="E7" s="35" t="inlineStr">
        <is>
          <t>Unilever plc investor relations</t>
        </is>
      </c>
      <c r="F7" s="35" t="inlineStr">
        <is>
          <t>2026-09-27</t>
        </is>
      </c>
      <c r="G7" s="4" t="inlineStr">
        <is>
          <t>https://www.unilever.com/investors/annual-report-and-accounts/</t>
        </is>
      </c>
    </row>
    <row r="8" ht="28" customHeight="1">
      <c r="C8" s="4" t="inlineStr">
        <is>
          <t>IAS 29 Financial Reporting in Hyperinflationary Economies — restatement mechanics</t>
        </is>
      </c>
      <c r="D8" s="4" t="inlineStr">
        <is>
          <t>Monetary items not restated; non-monetary restated by price index; net monetary gain/loss recognized in P&amp;L</t>
        </is>
      </c>
      <c r="E8" s="35" t="inlineStr">
        <is>
          <t>IFRS Foundation</t>
        </is>
      </c>
      <c r="F8" s="35" t="inlineStr">
        <is>
          <t>2026-09-27</t>
        </is>
      </c>
      <c r="G8" s="4" t="inlineStr"/>
    </row>
    <row r="9" ht="28" customHeight="1">
      <c r="C9" s="4" t="inlineStr">
        <is>
          <t>IAS 21 The Effects of Changes in Foreign Exchange Rates — §42-43</t>
        </is>
      </c>
      <c r="D9" s="4" t="inlineStr">
        <is>
          <t>Restated hyperinflationary FS translated at the closing rate (not average)</t>
        </is>
      </c>
      <c r="E9" s="35" t="inlineStr">
        <is>
          <t>IFRS Foundation</t>
        </is>
      </c>
      <c r="F9" s="35" t="inlineStr">
        <is>
          <t>2026-09-27</t>
        </is>
      </c>
      <c r="G9" s="4" t="inlineStr"/>
    </row>
    <row r="10" ht="28" customHeight="1">
      <c r="C10" s="4" t="inlineStr">
        <is>
          <t>Coca-Cola FEMSA, S.A.B. de C.V. — 2025 Annual Report on Form 20-F</t>
        </is>
      </c>
      <c r="D10" s="4" t="inlineStr">
        <is>
          <t>Argentina net monetary position gain, H1 2025 vs H1 2024</t>
        </is>
      </c>
      <c r="E10" s="35" t="inlineStr">
        <is>
          <t>U.S. SEC EDGAR</t>
        </is>
      </c>
      <c r="F10" s="35" t="inlineStr">
        <is>
          <t>2026-09-27</t>
        </is>
      </c>
      <c r="G10" s="4" t="inlineStr">
        <is>
          <t>https://www.sec.gov/Archives/edgar/data/910631/000162828026025313/kof-20251231.htm</t>
        </is>
      </c>
    </row>
    <row r="11" ht="28" customHeight="1">
      <c r="C11" s="4" t="inlineStr">
        <is>
          <t>BBVA — 2023 Annual Report on Form 20-F</t>
        </is>
      </c>
      <c r="D11" s="4" t="inlineStr">
        <is>
          <t>Türkiye net monetary loss + inflation-linked-bond revaluation gain, FY2023/FY2022</t>
        </is>
      </c>
      <c r="E11" s="35" t="inlineStr">
        <is>
          <t>U.S. SEC EDGAR</t>
        </is>
      </c>
      <c r="F11" s="35" t="inlineStr">
        <is>
          <t>2026-09-27</t>
        </is>
      </c>
      <c r="G11" s="4" t="inlineStr">
        <is>
          <t>https://www.sec.gov/Archives/edgar/data/842180/000084218024000007/bbva-20231231.htm</t>
        </is>
      </c>
    </row>
    <row r="12" ht="28" customHeight="1">
      <c r="C12" s="4" t="inlineStr">
        <is>
          <t>IFRS Interpretations Committee — Assessing Indicators of Hyperinflationary Economies, July 2025 agenda decision</t>
        </is>
      </c>
      <c r="D12" s="4" t="inlineStr">
        <is>
          <t>Qualitative-indicator weighting; no new standard-setting project</t>
        </is>
      </c>
      <c r="E12" s="35" t="inlineStr">
        <is>
          <t>IFRS Foundation</t>
        </is>
      </c>
      <c r="F12" s="35" t="inlineStr">
        <is>
          <t>2026-09-27</t>
        </is>
      </c>
      <c r="G12" s="4" t="inlineStr">
        <is>
          <t>https://www.ifrs.org/projects/completed-projects/2025/assessing-indicators-of-hyperinflationary-economies-IAS-29/</t>
        </is>
      </c>
    </row>
    <row r="13" ht="28" customHeight="1">
      <c r="C13" s="4" t="inlineStr">
        <is>
          <t>EY — Hyperinflationary economies (updated April 2026)</t>
        </is>
      </c>
      <c r="D13" s="4" t="inlineStr">
        <is>
          <t>Current list: Argentina, Türkiye, Haiti, Iran, Lebanon, Malawi, South Sudan, Sudan, Venezuela, Zimbabwe</t>
        </is>
      </c>
      <c r="E13" s="35" t="inlineStr">
        <is>
          <t>EY</t>
        </is>
      </c>
      <c r="F13" s="35" t="inlineStr">
        <is>
          <t>2026-09-27</t>
        </is>
      </c>
      <c r="G13" s="4" t="inlineStr">
        <is>
          <t>https://www.ey.com/en_lt/technical/ifrs-technical-resources/hyperinflationary-economies-updated-april-2026</t>
        </is>
      </c>
    </row>
    <row r="14" ht="28" customHeight="1">
      <c r="C14" s="4" t="inlineStr">
        <is>
          <t>Colgate-Palmolive Company — Form 10-K FY2025</t>
        </is>
      </c>
      <c r="D14" s="4" t="inlineStr">
        <is>
          <t>Argentina/Türkiye/Nigeria named 'highly inflationary'; no material impact disclosed</t>
        </is>
      </c>
      <c r="E14" s="35" t="inlineStr">
        <is>
          <t>U.S. SEC EDGAR</t>
        </is>
      </c>
      <c r="F14" s="35" t="inlineStr">
        <is>
          <t>2026-09-27</t>
        </is>
      </c>
      <c r="G14" s="4" t="inlineStr">
        <is>
          <t>https://www.sec.gov/Archives/edgar/data/21665/000002166526000006/cl-20251231.htm</t>
        </is>
      </c>
    </row>
    <row r="15" ht="28" customHeight="1">
      <c r="C15" s="4" t="inlineStr">
        <is>
          <t>Reckitt Benckiser Group plc — Annual Report and Accounts 2025 (Financial Statements)</t>
        </is>
      </c>
      <c r="D15" s="4" t="inlineStr">
        <is>
          <t>Exchange-and-hyperinflation LFL revenue reconciling item, FY2025/FY2024; Argentina divestment (Essential Home sale, 31 Dec 2025)</t>
        </is>
      </c>
      <c r="E15" s="35" t="inlineStr">
        <is>
          <t>Reckitt Benckiser plc investor relations</t>
        </is>
      </c>
      <c r="F15" s="35" t="inlineStr">
        <is>
          <t>2026-09-27</t>
        </is>
      </c>
      <c r="G15" s="4" t="inlineStr">
        <is>
          <t>https://www.reckitt.com/investors/latest-annual-report/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2026-09-28T17:48:39Z</dcterms:created>
  <dcterms:modified xsi:type="dcterms:W3CDTF">2026-09-28T17:48:39Z</dcterms:modified>
</cp:coreProperties>
</file>