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Balance_Sheet" sheetId="2" state="visible" r:id="rId2"/>
    <sheet name="Monetary_Position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&quot;x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b val="1"/>
      <color rgb="001F1F1F"/>
      <sz val="10"/>
    </font>
    <font>
      <name val="Calibri"/>
      <b val="1"/>
      <color rgb="00FFFFFF"/>
      <sz val="10"/>
    </font>
    <font>
      <name val="Calibri"/>
      <color rgb="001F4E96"/>
      <sz val="10"/>
    </font>
    <font>
      <name val="Calibri"/>
      <color rgb="00595959"/>
      <sz val="10"/>
    </font>
    <font>
      <name val="Calibri"/>
      <color rgb="0000695C"/>
      <sz val="10"/>
    </font>
    <font>
      <name val="Calibri"/>
      <b val="1"/>
      <color rgb="00C00000"/>
      <sz val="10"/>
    </font>
    <font>
      <name val="Calibr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D6E4F7"/>
        <bgColor rgb="00D6E4F7"/>
      </patternFill>
    </fill>
  </fills>
  <borders count="2">
    <border>
      <left/>
      <right/>
      <top/>
      <bottom/>
      <diagonal/>
    </border>
    <border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5" borderId="0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6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95" customWidth="1" min="3" max="3"/>
    <col width="16" customWidth="1" min="4" max="4"/>
    <col width="16" customWidth="1" min="5" max="5"/>
  </cols>
  <sheetData>
    <row r="2" ht="18" customHeight="1">
      <c r="A2" s="1" t="n"/>
      <c r="B2" s="2" t="inlineStr">
        <is>
          <t>Türkiye Garanti Bankası AŞ (Garanti BBVA)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30" customHeight="1">
      <c r="C4" s="3" t="inlineStr">
        <is>
          <t>Real, as-disclosed IFRS-basis, IAS 29-restated consolidated financial statements (FY2024, FY2025) -- not a calibrated fictional subsidiary (contrast with the Unilever model elsewhere in this repo).</t>
        </is>
      </c>
    </row>
    <row r="5" ht="30" customHeight="1">
      <c r="C5" s="3" t="inlineStr">
        <is>
          <t>Balance_Sheet: every line item from Garanti BBVA's own published statement, flagged monetary or non-monetary.</t>
        </is>
      </c>
    </row>
    <row r="6" ht="30" customHeight="1">
      <c r="C6" s="3" t="inlineStr">
        <is>
          <t>Monetary_Position: an independently *estimated* net monetary gain/(loss) for FY2025 (opening net monetary position x the period's CPI growth, sign-flipped) checked against Garanti's own disclosed 'Gain/(loss) on net monetary position, net' line -- an attempted reconstruction, not a calibration, so the resulting gap is reported, not tuned away. See research_output.md for why it's large.</t>
        </is>
      </c>
    </row>
  </sheetData>
  <mergeCells count="1">
    <mergeCell ref="B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41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55" customWidth="1" min="3" max="3"/>
    <col width="16" customWidth="1" min="4" max="4"/>
    <col width="16" customWidth="1" min="5" max="5"/>
    <col width="14" customWidth="1" min="6" max="6"/>
  </cols>
  <sheetData>
    <row r="2" ht="18" customHeight="1">
      <c r="A2" s="1" t="n"/>
      <c r="B2" s="2" t="inlineStr">
        <is>
          <t>Consolidated Statement of Financial Position (TL thousands, as published)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D3" s="4" t="inlineStr">
        <is>
          <t>2024</t>
        </is>
      </c>
      <c r="E3" s="4" t="inlineStr">
        <is>
          <t>2025</t>
        </is>
      </c>
      <c r="F3" s="5" t="inlineStr">
        <is>
          <t>Monetary?</t>
        </is>
      </c>
    </row>
    <row r="5" ht="15" customHeight="1">
      <c r="A5" s="6" t="n"/>
      <c r="B5" s="6" t="n"/>
      <c r="C5" s="7" t="inlineStr">
        <is>
          <t>Assets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14" customHeight="1">
      <c r="A6" s="8" t="n"/>
      <c r="B6" s="8" t="n"/>
      <c r="C6" s="9" t="inlineStr">
        <is>
          <t>Cash and balances with central banks</t>
        </is>
      </c>
      <c r="D6" s="10" t="n">
        <v>618489033</v>
      </c>
      <c r="E6" s="10" t="n">
        <v>765126617</v>
      </c>
      <c r="F6" s="11" t="inlineStr">
        <is>
          <t>Monetary</t>
        </is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</row>
    <row r="7" ht="14" customHeight="1">
      <c r="A7" s="8" t="n"/>
      <c r="B7" s="8" t="n"/>
      <c r="C7" s="9" t="inlineStr">
        <is>
          <t>Financial assets at fair value through profit or loss</t>
        </is>
      </c>
      <c r="D7" s="10" t="n">
        <v>15874453</v>
      </c>
      <c r="E7" s="10" t="n">
        <v>15753827</v>
      </c>
      <c r="F7" s="11" t="inlineStr">
        <is>
          <t>Monetary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8" t="n"/>
      <c r="B8" s="8" t="n"/>
      <c r="C8" s="9" t="inlineStr">
        <is>
          <t>Derivative financial assets</t>
        </is>
      </c>
      <c r="D8" s="10" t="n">
        <v>13634440</v>
      </c>
      <c r="E8" s="10" t="n">
        <v>20109684</v>
      </c>
      <c r="F8" s="11" t="inlineStr">
        <is>
          <t>Monetary</t>
        </is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 ht="14" customHeight="1">
      <c r="A9" s="8" t="n"/>
      <c r="B9" s="8" t="n"/>
      <c r="C9" s="9" t="inlineStr">
        <is>
          <t>Loans and advances to banks</t>
        </is>
      </c>
      <c r="D9" s="10" t="n">
        <v>203090376</v>
      </c>
      <c r="E9" s="10" t="n">
        <v>243036837</v>
      </c>
      <c r="F9" s="11" t="inlineStr">
        <is>
          <t>Monetary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8" t="n"/>
      <c r="B10" s="8" t="n"/>
      <c r="C10" s="9" t="inlineStr">
        <is>
          <t>Loans and advances to customers</t>
        </is>
      </c>
      <c r="D10" s="10" t="n">
        <v>2265981222</v>
      </c>
      <c r="E10" s="10" t="n">
        <v>2675521677</v>
      </c>
      <c r="F10" s="11" t="inlineStr">
        <is>
          <t>Monetary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 ht="14" customHeight="1">
      <c r="A11" s="8" t="n"/>
      <c r="B11" s="8" t="n"/>
      <c r="C11" s="9" t="inlineStr">
        <is>
          <t>Investment securities</t>
        </is>
      </c>
      <c r="D11" s="10" t="n">
        <v>533699472</v>
      </c>
      <c r="E11" s="10" t="n">
        <v>530309550</v>
      </c>
      <c r="F11" s="11" t="inlineStr">
        <is>
          <t>Monetary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14" customHeight="1">
      <c r="A12" s="8" t="n"/>
      <c r="B12" s="8" t="n"/>
      <c r="C12" s="9" t="inlineStr">
        <is>
          <t>Equity investments</t>
        </is>
      </c>
      <c r="D12" s="10" t="n">
        <v>4357035</v>
      </c>
      <c r="E12" s="10" t="n">
        <v>4663541</v>
      </c>
      <c r="F12" s="11" t="inlineStr">
        <is>
          <t>Non-monetary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 ht="14" customHeight="1">
      <c r="A13" s="8" t="n"/>
      <c r="B13" s="8" t="n"/>
      <c r="C13" s="9" t="inlineStr">
        <is>
          <t>Assets held for sale</t>
        </is>
      </c>
      <c r="D13" s="10" t="n">
        <v>9481025</v>
      </c>
      <c r="E13" s="10" t="n">
        <v>9497188</v>
      </c>
      <c r="F13" s="11" t="inlineStr">
        <is>
          <t>Non-monetary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</row>
    <row r="14" ht="14" customHeight="1">
      <c r="A14" s="8" t="n"/>
      <c r="B14" s="8" t="n"/>
      <c r="C14" s="9" t="inlineStr">
        <is>
          <t>Investment properties</t>
        </is>
      </c>
      <c r="D14" s="10" t="n">
        <v>734189</v>
      </c>
      <c r="E14" s="10" t="n">
        <v>566000</v>
      </c>
      <c r="F14" s="11" t="inlineStr">
        <is>
          <t>Non-monetary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 ht="14" customHeight="1">
      <c r="A15" s="8" t="n"/>
      <c r="B15" s="8" t="n"/>
      <c r="C15" s="9" t="inlineStr">
        <is>
          <t>Tangible and intangible assets</t>
        </is>
      </c>
      <c r="D15" s="10" t="n">
        <v>117975278</v>
      </c>
      <c r="E15" s="10" t="n">
        <v>120383316</v>
      </c>
      <c r="F15" s="11" t="inlineStr">
        <is>
          <t>Non-monetary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8" t="n"/>
      <c r="B16" s="8" t="n"/>
      <c r="C16" s="9" t="inlineStr">
        <is>
          <t>Deferred tax asset</t>
        </is>
      </c>
      <c r="D16" s="10" t="n">
        <v>17637333</v>
      </c>
      <c r="E16" s="10" t="n">
        <v>2446886</v>
      </c>
      <c r="F16" s="11" t="inlineStr">
        <is>
          <t>Non-monetary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 ht="14" customHeight="1">
      <c r="A17" s="8" t="n"/>
      <c r="B17" s="8" t="n"/>
      <c r="C17" s="9" t="inlineStr">
        <is>
          <t>Other assets</t>
        </is>
      </c>
      <c r="D17" s="10" t="n">
        <v>181921495</v>
      </c>
      <c r="E17" s="10" t="n">
        <v>206150848</v>
      </c>
      <c r="F17" s="11" t="inlineStr">
        <is>
          <t>Monetary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5" customHeight="1">
      <c r="A18" s="12" t="n"/>
      <c r="B18" s="12" t="n"/>
      <c r="C18" s="13" t="inlineStr">
        <is>
          <t>Total Assets</t>
        </is>
      </c>
      <c r="D18" s="14" t="n">
        <v>3982875351</v>
      </c>
      <c r="E18" s="14" t="n">
        <v>4593565971</v>
      </c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20" ht="15" customHeight="1">
      <c r="A20" s="6" t="n"/>
      <c r="B20" s="6" t="n"/>
      <c r="C20" s="7" t="inlineStr">
        <is>
          <t>Liabilities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14" customHeight="1">
      <c r="A21" s="8" t="n"/>
      <c r="B21" s="8" t="n"/>
      <c r="C21" s="9" t="inlineStr">
        <is>
          <t>Deposits from banks</t>
        </is>
      </c>
      <c r="D21" s="10" t="n">
        <v>75898495</v>
      </c>
      <c r="E21" s="10" t="n">
        <v>6135017</v>
      </c>
      <c r="F21" s="11" t="inlineStr">
        <is>
          <t>Monetary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8" t="n"/>
      <c r="B22" s="8" t="n"/>
      <c r="C22" s="9" t="inlineStr">
        <is>
          <t>Deposits from customers</t>
        </is>
      </c>
      <c r="D22" s="10" t="n">
        <v>2742913106</v>
      </c>
      <c r="E22" s="10" t="n">
        <v>3142198207</v>
      </c>
      <c r="F22" s="11" t="inlineStr">
        <is>
          <t>Monetary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 ht="14" customHeight="1">
      <c r="A23" s="8" t="n"/>
      <c r="B23" s="8" t="n"/>
      <c r="C23" s="9" t="inlineStr">
        <is>
          <t>Loans and advances from banks and other institutions</t>
        </is>
      </c>
      <c r="D23" s="10" t="n">
        <v>100575797</v>
      </c>
      <c r="E23" s="10" t="n">
        <v>114537654</v>
      </c>
      <c r="F23" s="11" t="inlineStr">
        <is>
          <t>Monetary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14" customHeight="1">
      <c r="A24" s="8" t="n"/>
      <c r="B24" s="8" t="n"/>
      <c r="C24" s="9" t="inlineStr">
        <is>
          <t>Obligations under repurchase agreements and money market fundings</t>
        </is>
      </c>
      <c r="D24" s="10" t="n">
        <v>61366029</v>
      </c>
      <c r="E24" s="10" t="n">
        <v>87498193</v>
      </c>
      <c r="F24" s="11" t="inlineStr">
        <is>
          <t>Monetary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 ht="14" customHeight="1">
      <c r="A25" s="8" t="n"/>
      <c r="B25" s="8" t="n"/>
      <c r="C25" s="9" t="inlineStr">
        <is>
          <t>Debt securities issued</t>
        </is>
      </c>
      <c r="D25" s="10" t="n">
        <v>36793183</v>
      </c>
      <c r="E25" s="10" t="n">
        <v>173583791</v>
      </c>
      <c r="F25" s="11" t="inlineStr">
        <is>
          <t>Monetary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</row>
    <row r="26" ht="14" customHeight="1">
      <c r="A26" s="8" t="n"/>
      <c r="B26" s="8" t="n"/>
      <c r="C26" s="9" t="inlineStr">
        <is>
          <t>Financial liabilities at fair value through profit or loss</t>
        </is>
      </c>
      <c r="D26" s="10" t="n">
        <v>74900627</v>
      </c>
      <c r="E26" s="10" t="n">
        <v>69884162</v>
      </c>
      <c r="F26" s="11" t="inlineStr">
        <is>
          <t>Monetary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 ht="14" customHeight="1">
      <c r="A27" s="8" t="n"/>
      <c r="B27" s="8" t="n"/>
      <c r="C27" s="9" t="inlineStr">
        <is>
          <t>Derivative financial liabilities</t>
        </is>
      </c>
      <c r="D27" s="10" t="n">
        <v>17942070</v>
      </c>
      <c r="E27" s="10" t="n">
        <v>16169909</v>
      </c>
      <c r="F27" s="11" t="inlineStr">
        <is>
          <t>Monetary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 ht="14" customHeight="1">
      <c r="A28" s="8" t="n"/>
      <c r="B28" s="8" t="n"/>
      <c r="C28" s="9" t="inlineStr">
        <is>
          <t>Subordinated liabilities</t>
        </is>
      </c>
      <c r="D28" s="10" t="n">
        <v>87790294</v>
      </c>
      <c r="E28" s="10" t="n">
        <v>140819036</v>
      </c>
      <c r="F28" s="11" t="inlineStr">
        <is>
          <t>Monetary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 ht="14" customHeight="1">
      <c r="A29" s="8" t="n"/>
      <c r="B29" s="8" t="n"/>
      <c r="C29" s="9" t="inlineStr">
        <is>
          <t>Current tax liability</t>
        </is>
      </c>
      <c r="D29" s="10" t="n">
        <v>12137719</v>
      </c>
      <c r="E29" s="10" t="n">
        <v>7167574</v>
      </c>
      <c r="F29" s="11" t="inlineStr">
        <is>
          <t>Monetary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 ht="14" customHeight="1">
      <c r="A30" s="8" t="n"/>
      <c r="B30" s="8" t="n"/>
      <c r="C30" s="9" t="inlineStr">
        <is>
          <t>Deferred tax liability</t>
        </is>
      </c>
      <c r="D30" s="10" t="n">
        <v>4307248</v>
      </c>
      <c r="E30" s="10" t="n">
        <v>3137225</v>
      </c>
      <c r="F30" s="11" t="inlineStr">
        <is>
          <t>Non-monetary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</row>
    <row r="31" ht="14" customHeight="1">
      <c r="A31" s="8" t="n"/>
      <c r="B31" s="8" t="n"/>
      <c r="C31" s="9" t="inlineStr">
        <is>
          <t>Provisions</t>
        </is>
      </c>
      <c r="D31" s="10" t="n">
        <v>24662611</v>
      </c>
      <c r="E31" s="10" t="n">
        <v>27913460</v>
      </c>
      <c r="F31" s="11" t="inlineStr">
        <is>
          <t>Monetary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</row>
    <row r="32" ht="14" customHeight="1">
      <c r="A32" s="8" t="n"/>
      <c r="B32" s="8" t="n"/>
      <c r="C32" s="9" t="inlineStr">
        <is>
          <t>Other liabilities and accrued expenses</t>
        </is>
      </c>
      <c r="D32" s="10" t="n">
        <v>270739230</v>
      </c>
      <c r="E32" s="10" t="n">
        <v>323505844</v>
      </c>
      <c r="F32" s="11" t="inlineStr">
        <is>
          <t>Monetary</t>
        </is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</row>
    <row r="33" ht="15" customHeight="1">
      <c r="A33" s="12" t="n"/>
      <c r="B33" s="12" t="n"/>
      <c r="C33" s="13" t="inlineStr">
        <is>
          <t>Total Liabilities</t>
        </is>
      </c>
      <c r="D33" s="14" t="n">
        <v>3510026409</v>
      </c>
      <c r="E33" s="14" t="n">
        <v>4112550072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5" ht="15" customHeight="1">
      <c r="A35" s="6" t="n"/>
      <c r="B35" s="6" t="n"/>
      <c r="C35" s="7" t="inlineStr">
        <is>
          <t>Equity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 ht="14" customHeight="1">
      <c r="A36" s="8" t="n"/>
      <c r="B36" s="8" t="n"/>
      <c r="C36" s="9" t="inlineStr">
        <is>
          <t>Share capital</t>
        </is>
      </c>
      <c r="D36" s="10" t="n">
        <v>134803954</v>
      </c>
      <c r="E36" s="10" t="n">
        <v>134803954</v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</row>
    <row r="37" ht="14" customHeight="1">
      <c r="A37" s="8" t="n"/>
      <c r="B37" s="8" t="n"/>
      <c r="C37" s="9" t="inlineStr">
        <is>
          <t>Share premium</t>
        </is>
      </c>
      <c r="D37" s="10" t="n">
        <v>268633</v>
      </c>
      <c r="E37" s="10" t="n">
        <v>268633</v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</row>
    <row r="38" ht="14" customHeight="1">
      <c r="A38" s="8" t="n"/>
      <c r="B38" s="8" t="n"/>
      <c r="C38" s="9" t="inlineStr">
        <is>
          <t>Other reserves</t>
        </is>
      </c>
      <c r="D38" s="10" t="n">
        <v>44067464</v>
      </c>
      <c r="E38" s="10" t="n">
        <v>47708768</v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 ht="14" customHeight="1">
      <c r="A39" s="8" t="n"/>
      <c r="B39" s="8" t="n"/>
      <c r="C39" s="9" t="inlineStr">
        <is>
          <t>Retained earnings</t>
        </is>
      </c>
      <c r="D39" s="10" t="n">
        <v>291460225</v>
      </c>
      <c r="E39" s="10" t="n">
        <v>295507483</v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</row>
    <row r="40" ht="14" customHeight="1">
      <c r="A40" s="8" t="n"/>
      <c r="B40" s="8" t="n"/>
      <c r="C40" s="9" t="inlineStr">
        <is>
          <t>Non-controlling interests</t>
        </is>
      </c>
      <c r="D40" s="10" t="n">
        <v>2248666</v>
      </c>
      <c r="E40" s="10" t="n">
        <v>2727061</v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 ht="15" customHeight="1">
      <c r="A41" s="12" t="n"/>
      <c r="B41" s="12" t="n"/>
      <c r="C41" s="13" t="inlineStr">
        <is>
          <t>Total Equity</t>
        </is>
      </c>
      <c r="D41" s="14" t="n">
        <v>472848942</v>
      </c>
      <c r="E41" s="14" t="n">
        <v>481015899</v>
      </c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2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0" customWidth="1" min="3" max="3"/>
    <col width="18" customWidth="1" min="4" max="4"/>
    <col width="18" customWidth="1" min="5" max="5"/>
  </cols>
  <sheetData>
    <row r="2" ht="18" customHeight="1">
      <c r="A2" s="1" t="n"/>
      <c r="B2" s="2" t="inlineStr">
        <is>
          <t>Net Monetary Position &amp; Estimated Monetary Result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D4" s="4" t="inlineStr">
        <is>
          <t>2024</t>
        </is>
      </c>
      <c r="E4" s="4" t="inlineStr">
        <is>
          <t>2025</t>
        </is>
      </c>
    </row>
    <row r="6">
      <c r="C6" s="15" t="inlineStr">
        <is>
          <t>Monetary assets</t>
        </is>
      </c>
      <c r="D6" s="16">
        <f>'Balance_Sheet'!D6+'Balance_Sheet'!D7+'Balance_Sheet'!D8+'Balance_Sheet'!D9+'Balance_Sheet'!D10+'Balance_Sheet'!D11+'Balance_Sheet'!D17</f>
        <v/>
      </c>
      <c r="E6" s="16">
        <f>'Balance_Sheet'!E6+'Balance_Sheet'!E7+'Balance_Sheet'!E8+'Balance_Sheet'!E9+'Balance_Sheet'!E10+'Balance_Sheet'!E11+'Balance_Sheet'!E17</f>
        <v/>
      </c>
    </row>
    <row r="7">
      <c r="C7" s="15" t="inlineStr">
        <is>
          <t>Monetary liabilities</t>
        </is>
      </c>
      <c r="D7" s="16">
        <f>'Balance_Sheet'!D21+'Balance_Sheet'!D22+'Balance_Sheet'!D23+'Balance_Sheet'!D24+'Balance_Sheet'!D25+'Balance_Sheet'!D26+'Balance_Sheet'!D27+'Balance_Sheet'!D28+'Balance_Sheet'!D29+'Balance_Sheet'!D31+'Balance_Sheet'!D32</f>
        <v/>
      </c>
      <c r="E7" s="16">
        <f>'Balance_Sheet'!E21+'Balance_Sheet'!E22+'Balance_Sheet'!E23+'Balance_Sheet'!E24+'Balance_Sheet'!E25+'Balance_Sheet'!E26+'Balance_Sheet'!E27+'Balance_Sheet'!E28+'Balance_Sheet'!E29+'Balance_Sheet'!E31+'Balance_Sheet'!E32</f>
        <v/>
      </c>
    </row>
    <row r="8">
      <c r="C8" s="17" t="inlineStr">
        <is>
          <t>Net monetary position (assets - liabilities)</t>
        </is>
      </c>
      <c r="D8" s="18">
        <f>D6-D7</f>
        <v/>
      </c>
      <c r="E8" s="18">
        <f>E6-E7</f>
        <v/>
      </c>
    </row>
    <row r="10" ht="15" customHeight="1">
      <c r="A10" s="6" t="n"/>
      <c r="B10" s="6" t="n"/>
      <c r="C10" s="7" t="inlineStr">
        <is>
          <t>FY2025 estimate vs. Garanti's own disclosed figure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C11" s="15" t="inlineStr">
        <is>
          <t>TÜİK CPI index, Dec-2023 (2003=100)</t>
        </is>
      </c>
      <c r="E11" s="19" t="n">
        <v>713.14</v>
      </c>
    </row>
    <row r="12">
      <c r="C12" s="15" t="inlineStr">
        <is>
          <t>TÜİK CPI index, Dec-2024</t>
        </is>
      </c>
      <c r="E12" s="19" t="n">
        <v>1029.82</v>
      </c>
    </row>
    <row r="13">
      <c r="C13" s="15" t="inlineStr">
        <is>
          <t>TÜİK CPI index, Dec-2025</t>
        </is>
      </c>
      <c r="E13" s="19" t="n">
        <v>1348.17</v>
      </c>
    </row>
    <row r="15" ht="28" customHeight="1">
      <c r="C15" s="3" t="inlineStr">
        <is>
          <t>Opening (FY2024-end) net monetary position, recovered to its own Dec-2024 purchasing power (as-shown Dec-2024 column is in Dec-2025 PP terms)</t>
        </is>
      </c>
      <c r="E15" s="20">
        <f>D8*E12/E13</f>
        <v/>
      </c>
    </row>
    <row r="16">
      <c r="C16" s="15" t="inlineStr">
        <is>
          <t>FY2025 CPI growth rate</t>
        </is>
      </c>
      <c r="E16" s="21">
        <f>E13/E12-1</f>
        <v/>
      </c>
    </row>
    <row r="17">
      <c r="C17" s="17" t="inlineStr">
        <is>
          <t>Estimated monetary gain/(loss): -opening NMP x growth</t>
        </is>
      </c>
      <c r="E17" s="18">
        <f>-E15*E16</f>
        <v/>
      </c>
    </row>
    <row r="18">
      <c r="C18" s="22" t="inlineStr">
        <is>
          <t>Garanti's own disclosed 'Gain/(loss) on net monetary position, net'</t>
        </is>
      </c>
      <c r="E18" s="23" t="n">
        <v>-5327505</v>
      </c>
    </row>
    <row r="19">
      <c r="C19" s="24" t="inlineStr">
        <is>
          <t>Gap (estimate - disclosed)</t>
        </is>
      </c>
      <c r="E19" s="25">
        <f>E17-E18</f>
        <v/>
      </c>
    </row>
    <row r="20">
      <c r="C20" s="24" t="inlineStr">
        <is>
          <t>Gap, as a multiple of the disclosed figure</t>
        </is>
      </c>
      <c r="E20" s="26">
        <f>E17/E18</f>
        <v/>
      </c>
    </row>
    <row r="22" ht="28" customHeight="1">
      <c r="C22" s="27" t="inlineStr">
        <is>
          <t>See research_output.md for why this gap is large (~14x) and what it implies about a bank's monetary exposure vs. a non-financial company's.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05" customWidth="1" min="3" max="3"/>
  </cols>
  <sheetData>
    <row r="2" ht="18" customHeight="1">
      <c r="A2" s="1" t="n"/>
      <c r="B2" s="2" t="inlineStr">
        <is>
          <t>Sources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 ht="30" customHeight="1">
      <c r="C4" s="3" t="inlineStr">
        <is>
          <t>Türkiye Garanti Bankası AŞ and Its Subsidiaries, Consolidated Financial Statements (IFRS basis) As of and For the Year Ended 31 December 2025 — Consolidated Statement of Financial Position and Consolidated Statement of Profit or Loss and Other Comprehensive Income. Garanti BBVA Investor Relations, IFRS Financial Reports (IFRS-Financials-31122025.pdf).</t>
        </is>
      </c>
    </row>
    <row r="5" ht="30" customHeight="1">
      <c r="C5" s="3" t="inlineStr">
        <is>
          <t>TÜİK (Turkish Statistical Institute) Consumer Price Index, 2003=100 base, December 2023/2024/2025 values — sourced via aggregated secondary reporting, cross-checked against the widely-reported +44.38% (2024) and +30.89% y/y (December 2025) CPI inflation rates for Türkiye.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2026-10-17T19:13:34Z</dcterms:created>
  <dcterms:modified xsi:type="dcterms:W3CDTF">2026-10-17T19:13:34Z</dcterms:modified>
</cp:coreProperties>
</file>