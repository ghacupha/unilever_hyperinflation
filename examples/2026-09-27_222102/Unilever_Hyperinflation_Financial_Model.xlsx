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Argentina_Schedules" sheetId="3" state="visible" r:id="rId3"/>
    <sheet name="Turkiye_Schedules" sheetId="4" state="visible" r:id="rId4"/>
    <sheet name="Consolidation" sheetId="5" state="visible" r:id="rId5"/>
    <sheet name="Scenario_Comparison" sheetId="6" state="visible" r:id="rId6"/>
    <sheet name="Validation_2025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%"/>
    <numFmt numFmtId="167" formatCode="0.0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595959"/>
      <sz val="10"/>
    </font>
    <font>
      <name val="Calibri"/>
      <color rgb="001F1F1F"/>
      <sz val="10"/>
    </font>
    <font>
      <name val="Calibri"/>
      <b val="1"/>
      <color rgb="00FFFFFF"/>
      <sz val="10"/>
    </font>
    <font>
      <name val="Calibri"/>
      <color rgb="001F4E96"/>
      <sz val="10"/>
    </font>
    <font>
      <name val="Calibri"/>
      <color rgb="0000695C"/>
      <sz val="10"/>
    </font>
    <font>
      <name val="Calibri"/>
      <color rgb="00ED7D31"/>
      <sz val="10"/>
    </font>
    <font>
      <name val="Calibri"/>
      <b val="1"/>
      <color rgb="001F1F1F"/>
      <sz val="10"/>
    </font>
    <font>
      <name val="Calibri"/>
      <b val="1"/>
      <color rgb="00C00000"/>
      <sz val="10"/>
    </font>
    <font>
      <name val="Calibri"/>
      <b val="1"/>
      <color rgb="0000695C"/>
      <sz val="10"/>
    </font>
    <font>
      <name val="Calibri"/>
      <color rgb="00C00000"/>
      <sz val="10"/>
    </font>
    <font>
      <name val="Calibri"/>
      <color rgb="00375623"/>
      <sz val="10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4" fontId="6" fillId="4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164" fontId="12" fillId="4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90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Unilever plc — Argentina &amp; Türkiye Hyperinflation Model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3" t="inlineStr">
        <is>
          <t>Description</t>
        </is>
      </c>
    </row>
    <row r="5" ht="45" customHeight="1">
      <c r="C5" s="4" t="inlineStr">
        <is>
          <t>CFA Level II Financial Statement Analysis — Multinational Operations reading, illustrated with Unilever plc's real disclosed application of IAS 29 (Financial Reporting in Hyperinflationary Economies) to its Argentina (hyperinflationary since 1 Jul 2018) and Türkiye (hyperinflationary since 1 Jul 2022) subsidiaries. Local subsidiary accounts are a small fictional illustration calibrated to reproduce Unilever's own disclosed 2024 IAS 29 impact figures; see research_output.md.</t>
        </is>
      </c>
    </row>
    <row r="7">
      <c r="C7" s="3" t="inlineStr">
        <is>
          <t>Period</t>
        </is>
      </c>
    </row>
    <row r="8" ht="45" customHeight="1">
      <c r="C8" s="4" t="inlineStr">
        <is>
          <t>2024 (calibrated) + 2025 (rolled-forward validation)</t>
        </is>
      </c>
    </row>
    <row r="10">
      <c r="C10" s="3" t="inlineStr">
        <is>
          <t>Prepared by</t>
        </is>
      </c>
    </row>
    <row r="11" ht="45" customHeight="1">
      <c r="C11" s="4" t="inlineStr">
        <is>
          <t>Hyperinflation Model Generator (bizplan)</t>
        </is>
      </c>
    </row>
    <row r="13">
      <c r="C13" s="3" t="inlineStr">
        <is>
          <t>Classification</t>
        </is>
      </c>
    </row>
    <row r="14" ht="45" customHeight="1">
      <c r="C14" s="4" t="inlineStr">
        <is>
          <t>Illustrative teaching model — not investment advice, not a reproduction of Unilever's actual subsidiary financial statements</t>
        </is>
      </c>
    </row>
    <row r="16" ht="15" customHeight="1">
      <c r="A16" s="5" t="n"/>
      <c r="B16" s="5" t="n"/>
      <c r="C16" s="6" t="inlineStr">
        <is>
          <t>Methodology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28" customHeight="1">
      <c r="C17" s="4" t="inlineStr">
        <is>
          <t>World A -- plain current-rate method (no inflation restatement): the baseline the IAS 29 impact is measured against -- the 'disappearing plant' case.</t>
        </is>
      </c>
    </row>
    <row r="18" ht="28" customHeight="1">
      <c r="C18" s="4" t="inlineStr">
        <is>
          <t>World B -- US GAAP temporal method (remeasurement): non-monetary items at historical FX, monetary items at current FX, remeasurement gain/loss to income.</t>
        </is>
      </c>
    </row>
    <row r="19" ht="28" customHeight="1">
      <c r="C19" s="4" t="inlineStr">
        <is>
          <t>World C -- actual IFRS treatment: IAS 29 inflation restatement, then IAS 21 translation of the restated figures at the closing rate (Unilever's own policy).</t>
        </is>
      </c>
    </row>
    <row r="20" ht="28" customHeight="1">
      <c r="C20" s="4" t="inlineStr">
        <is>
          <t>See Argentina_Schedules / Turkiye_Schedules for the full restatement chain, Scenario_Comparison for World A/B/C side by side, Validation_2025 for the model's 2025 roll-forward vs. Unilever's real 2025 disclosure.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Assumptions -- Local-Currency Inputs (disclosed/illustrative)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ARGENTINA -- ARS (hyperinflationary since 2018-07-01)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0" t="inlineStr">
        <is>
          <t>Inflation index -- opening</t>
        </is>
      </c>
      <c r="D7" s="11" t="n">
        <v>100</v>
      </c>
      <c r="E7" s="11" t="n">
        <v>218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0" t="inlineStr">
        <is>
          <t>Inflation index -- closing</t>
        </is>
      </c>
      <c r="D8" s="11" t="n">
        <v>218</v>
      </c>
      <c r="E8" s="11" t="n">
        <v>283.4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0" t="inlineStr">
        <is>
          <t>FX rate -- opening (local/EUR)</t>
        </is>
      </c>
      <c r="D9" s="11" t="n">
        <v>850</v>
      </c>
      <c r="E9" s="11" t="n">
        <v>1010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0" t="inlineStr">
        <is>
          <t>FX rate -- closing (local/EUR)</t>
        </is>
      </c>
      <c r="D10" s="11" t="n">
        <v>1010</v>
      </c>
      <c r="E10" s="11" t="n">
        <v>1450.36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0" t="inlineStr">
        <is>
          <t>Revenue (nominal, local)</t>
        </is>
      </c>
      <c r="D11" s="12" t="n">
        <v>601159</v>
      </c>
      <c r="E11" s="12" t="n">
        <v>781506.7000000001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0" t="inlineStr">
        <is>
          <t>COGS (nominal, local)</t>
        </is>
      </c>
      <c r="D12" s="12" t="n">
        <v>356513.4</v>
      </c>
      <c r="E12" s="12" t="n">
        <v>463467.42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0" t="inlineStr">
        <is>
          <t>Opex (nominal, local)</t>
        </is>
      </c>
      <c r="D13" s="12" t="n">
        <v>189757.1</v>
      </c>
      <c r="E13" s="12" t="n">
        <v>246684.23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0" t="inlineStr">
        <is>
          <t>Depreciation (nominal, local)</t>
        </is>
      </c>
      <c r="D14" s="12" t="n">
        <v>28751.1</v>
      </c>
      <c r="E14" s="12" t="n">
        <v>37376.43</v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0" t="inlineStr">
        <is>
          <t>Capex (nominal, local)</t>
        </is>
      </c>
      <c r="D15" s="12" t="n">
        <v>31626.2</v>
      </c>
      <c r="E15" s="12" t="n">
        <v>41114.06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0" t="inlineStr">
        <is>
          <t>Non-monetary assets -- opening (prior-year restated)</t>
        </is>
      </c>
      <c r="D16" s="12" t="n">
        <v>404550.9</v>
      </c>
      <c r="E16" s="12" t="n">
        <v>886166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0" t="inlineStr">
        <is>
          <t>Monetary assets -- closing</t>
        </is>
      </c>
      <c r="D17" s="12" t="n">
        <v>250000</v>
      </c>
      <c r="E17" s="12" t="n">
        <v>325000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0" t="inlineStr">
        <is>
          <t>Monetary liabilities -- closing</t>
        </is>
      </c>
      <c r="D18" s="12" t="n">
        <v>657084.7</v>
      </c>
      <c r="E18" s="12" t="n">
        <v>854210.11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0" t="inlineStr">
        <is>
          <t>Equity -- opening (prior-year restated)</t>
        </is>
      </c>
      <c r="D19" s="12" t="n">
        <v>297500</v>
      </c>
      <c r="E19" s="12" t="n">
        <v>479081.3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TURKIYE -- TRY (hyperinflationary since 2022-07-01)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0" t="inlineStr">
        <is>
          <t>Inflation index -- opening</t>
        </is>
      </c>
      <c r="D22" s="11" t="n">
        <v>100</v>
      </c>
      <c r="E22" s="11" t="n">
        <v>144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0" t="inlineStr">
        <is>
          <t>Inflation index -- closing</t>
        </is>
      </c>
      <c r="D23" s="11" t="n">
        <v>144</v>
      </c>
      <c r="E23" s="11" t="n">
        <v>184.32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0" t="inlineStr">
        <is>
          <t>FX rate -- opening (local/EUR)</t>
        </is>
      </c>
      <c r="D24" s="11" t="n">
        <v>33.5</v>
      </c>
      <c r="E24" s="11" t="n">
        <v>39.5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0" t="inlineStr">
        <is>
          <t>FX rate -- closing (local/EUR)</t>
        </is>
      </c>
      <c r="D25" s="11" t="n">
        <v>39.5</v>
      </c>
      <c r="E25" s="11" t="n">
        <v>53.325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0" t="inlineStr">
        <is>
          <t>Revenue (nominal, local)</t>
        </is>
      </c>
      <c r="D26" s="12" t="n">
        <v>64717.7</v>
      </c>
      <c r="E26" s="12" t="n">
        <v>82838.656</v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14" customHeight="1">
      <c r="A27" s="9" t="n"/>
      <c r="B27" s="9" t="n"/>
      <c r="C27" s="10" t="inlineStr">
        <is>
          <t>COGS (nominal, local)</t>
        </is>
      </c>
      <c r="D27" s="12" t="n">
        <v>40983.2</v>
      </c>
      <c r="E27" s="12" t="n">
        <v>47540.512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 ht="14" customHeight="1">
      <c r="A28" s="9" t="n"/>
      <c r="B28" s="9" t="n"/>
      <c r="C28" s="10" t="inlineStr">
        <is>
          <t>Opex (nominal, local)</t>
        </is>
      </c>
      <c r="D28" s="12" t="n">
        <v>21813.7</v>
      </c>
      <c r="E28" s="12" t="n">
        <v>25303.892</v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14" customHeight="1">
      <c r="A29" s="9" t="n"/>
      <c r="B29" s="9" t="n"/>
      <c r="C29" s="10" t="inlineStr">
        <is>
          <t>Depreciation (nominal, local)</t>
        </is>
      </c>
      <c r="D29" s="12" t="n">
        <v>3305.1</v>
      </c>
      <c r="E29" s="12" t="n">
        <v>4230.528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0" t="inlineStr">
        <is>
          <t>Capex (nominal, local)</t>
        </is>
      </c>
      <c r="D30" s="12" t="n">
        <v>3635.6</v>
      </c>
      <c r="E30" s="12" t="n">
        <v>4653.568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0" t="inlineStr">
        <is>
          <t>Non-monetary assets -- opening (prior-year restated)</t>
        </is>
      </c>
      <c r="D31" s="12" t="n">
        <v>5685</v>
      </c>
      <c r="E31" s="12" t="n">
        <v>8583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0" t="inlineStr">
        <is>
          <t>Monetary assets -- closing</t>
        </is>
      </c>
      <c r="D32" s="12" t="n">
        <v>8000</v>
      </c>
      <c r="E32" s="12" t="n">
        <v>10240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10" t="inlineStr">
        <is>
          <t>Monetary liabilities -- closing</t>
        </is>
      </c>
      <c r="D33" s="12" t="n">
        <v>4302.5</v>
      </c>
      <c r="E33" s="12" t="n">
        <v>5507.2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0" t="inlineStr">
        <is>
          <t>Equity -- opening (prior-year restated)</t>
        </is>
      </c>
      <c r="D34" s="12" t="n">
        <v>9380</v>
      </c>
      <c r="E34" s="12" t="n">
        <v>12280.5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6" ht="15" customHeight="1">
      <c r="A36" s="5" t="n"/>
      <c r="B36" s="5" t="n"/>
      <c r="C36" s="6" t="inlineStr">
        <is>
          <t>OTHER GROUP OPERATIONS (EUR, scenario-invariant)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 ht="14" customHeight="1">
      <c r="A37" s="9" t="n"/>
      <c r="B37" s="9" t="n"/>
      <c r="C37" s="10" t="inlineStr">
        <is>
          <t>Revenue</t>
        </is>
      </c>
      <c r="D37" s="12" t="n">
        <v>58000</v>
      </c>
      <c r="E37" s="12" t="n">
        <v>58000</v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4" customHeight="1">
      <c r="A38" s="9" t="n"/>
      <c r="B38" s="9" t="n"/>
      <c r="C38" s="10" t="inlineStr">
        <is>
          <t>COGS</t>
        </is>
      </c>
      <c r="D38" s="12" t="n">
        <v>28000</v>
      </c>
      <c r="E38" s="12" t="n">
        <v>28000</v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14" customHeight="1">
      <c r="A39" s="9" t="n"/>
      <c r="B39" s="9" t="n"/>
      <c r="C39" s="10" t="inlineStr">
        <is>
          <t>Operating profit</t>
        </is>
      </c>
      <c r="D39" s="12" t="n">
        <v>8500</v>
      </c>
      <c r="E39" s="12" t="n">
        <v>8500</v>
      </c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 ht="14" customHeight="1">
      <c r="A40" s="9" t="n"/>
      <c r="B40" s="9" t="n"/>
      <c r="C40" s="10" t="inlineStr">
        <is>
          <t>Total assets</t>
        </is>
      </c>
      <c r="D40" s="12" t="n">
        <v>45000</v>
      </c>
      <c r="E40" s="12" t="n">
        <v>45000</v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0" t="inlineStr">
        <is>
          <t>Equity</t>
        </is>
      </c>
      <c r="D41" s="12" t="n">
        <v>20000</v>
      </c>
      <c r="E41" s="12" t="n">
        <v>20000</v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0" t="inlineStr">
        <is>
          <t>Non-monetary assets</t>
        </is>
      </c>
      <c r="D42" s="12" t="n">
        <v>22000</v>
      </c>
      <c r="E42" s="12" t="n">
        <v>22000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0" t="inlineStr">
        <is>
          <t>Monetary gain/(loss)</t>
        </is>
      </c>
      <c r="D43" s="12" t="n">
        <v>0</v>
      </c>
      <c r="E43" s="12" t="n">
        <v>0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Argentina (ARS)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'Assumptions'!D7</f>
        <v/>
      </c>
      <c r="E7" s="14">
        <f>'Assumptions'!E7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'Assumptions'!D8</f>
        <v/>
      </c>
      <c r="E8" s="14">
        <f>'Assumptions'!E8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'Assumptions'!D9</f>
        <v/>
      </c>
      <c r="E9" s="14">
        <f>'Assumptions'!E9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'Assumptions'!D10</f>
        <v/>
      </c>
      <c r="E10" s="14">
        <f>'Assumptions'!E10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'Assumptions'!D11</f>
        <v/>
      </c>
      <c r="E11" s="15">
        <f>'Assumptions'!E11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'Assumptions'!D12</f>
        <v/>
      </c>
      <c r="E12" s="15">
        <f>'Assumptions'!E12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'Assumptions'!D13</f>
        <v/>
      </c>
      <c r="E13" s="15">
        <f>'Assumptions'!E13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'Assumptions'!D14</f>
        <v/>
      </c>
      <c r="E14" s="15">
        <f>'Assumptions'!E14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'Assumptions'!D15</f>
        <v/>
      </c>
      <c r="E15" s="15">
        <f>'Assumptions'!E15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'Assumptions'!D16</f>
        <v/>
      </c>
      <c r="E16" s="15">
        <f>'Assumptions'!E16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'Assumptions'!D17</f>
        <v/>
      </c>
      <c r="E17" s="15">
        <f>'Assumptions'!E17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'Assumptions'!D18</f>
        <v/>
      </c>
      <c r="E18" s="15">
        <f>'Assumptions'!E18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'Assumptions'!D19</f>
        <v/>
      </c>
      <c r="E19" s="15">
        <f>'Assumptions'!E19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Turkiye (TRY)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'Assumptions'!D22</f>
        <v/>
      </c>
      <c r="E7" s="14">
        <f>'Assumptions'!E22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'Assumptions'!D23</f>
        <v/>
      </c>
      <c r="E8" s="14">
        <f>'Assumptions'!E23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'Assumptions'!D24</f>
        <v/>
      </c>
      <c r="E9" s="14">
        <f>'Assumptions'!E24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'Assumptions'!D25</f>
        <v/>
      </c>
      <c r="E10" s="14">
        <f>'Assumptions'!E25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'Assumptions'!D26</f>
        <v/>
      </c>
      <c r="E11" s="15">
        <f>'Assumptions'!E26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'Assumptions'!D27</f>
        <v/>
      </c>
      <c r="E12" s="15">
        <f>'Assumptions'!E27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'Assumptions'!D28</f>
        <v/>
      </c>
      <c r="E13" s="15">
        <f>'Assumptions'!E28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'Assumptions'!D29</f>
        <v/>
      </c>
      <c r="E14" s="15">
        <f>'Assumptions'!E29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'Assumptions'!D30</f>
        <v/>
      </c>
      <c r="E15" s="15">
        <f>'Assumptions'!E30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'Assumptions'!D31</f>
        <v/>
      </c>
      <c r="E16" s="15">
        <f>'Assumptions'!E31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'Assumptions'!D32</f>
        <v/>
      </c>
      <c r="E17" s="15">
        <f>'Assumptions'!E32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'Assumptions'!D33</f>
        <v/>
      </c>
      <c r="E18" s="15">
        <f>'Assumptions'!E33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'Assumptions'!D34</f>
        <v/>
      </c>
      <c r="E19" s="15">
        <f>'Assumptions'!E34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1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05 -- Parent Consolidation (World C -- actual IFRS treatment)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4" customHeight="1">
      <c r="A6" s="9" t="n"/>
      <c r="B6" s="9" t="n"/>
      <c r="C6" s="13" t="inlineStr">
        <is>
          <t>Revenue</t>
        </is>
      </c>
      <c r="D6" s="15">
        <f>'Argentina_Schedules'!D40+'Turkiye_Schedules'!D40+'Assumptions'!D37</f>
        <v/>
      </c>
      <c r="E6" s="15">
        <f>'Argentina_Schedules'!E40+'Turkiye_Schedules'!E40+'Assumptions'!E37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13" t="inlineStr">
        <is>
          <t>COGS</t>
        </is>
      </c>
      <c r="D7" s="15">
        <f>'Argentina_Schedules'!D41+'Turkiye_Schedules'!D41+'Assumptions'!D38</f>
        <v/>
      </c>
      <c r="E7" s="15">
        <f>'Argentina_Schedules'!E41+'Turkiye_Schedules'!E41+'Assumptions'!E38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6" t="inlineStr">
        <is>
          <t>Operating profit</t>
        </is>
      </c>
      <c r="D8" s="27">
        <f>'Argentina_Schedules'!D44+'Turkiye_Schedules'!D44+'Assumptions'!D39</f>
        <v/>
      </c>
      <c r="E8" s="27">
        <f>'Argentina_Schedules'!E44+'Turkiye_Schedules'!E44+'Assumptions'!E39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6" t="inlineStr">
        <is>
          <t>Total assets</t>
        </is>
      </c>
      <c r="D9" s="27">
        <f>'Argentina_Schedules'!D45+'Turkiye_Schedules'!D45+'Assumptions'!D40</f>
        <v/>
      </c>
      <c r="E9" s="27">
        <f>'Argentina_Schedules'!E45+'Turkiye_Schedules'!E45+'Assumptions'!E40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Non-monetary assets</t>
        </is>
      </c>
      <c r="D10" s="15">
        <f>'Argentina_Schedules'!D46+'Turkiye_Schedules'!D46+'Assumptions'!D42</f>
        <v/>
      </c>
      <c r="E10" s="15">
        <f>'Argentina_Schedules'!E46+'Turkiye_Schedules'!E46+'Assumptions'!E42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Net monetary gain/(loss)</t>
        </is>
      </c>
      <c r="D11" s="15">
        <f>'Argentina_Schedules'!D47+'Turkiye_Schedules'!D47+'Assumptions'!D43</f>
        <v/>
      </c>
      <c r="E11" s="15">
        <f>'Argentina_Schedules'!E47+'Turkiye_Schedules'!E47+'Assumptions'!E43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GROUP RATIOS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14" customHeight="1">
      <c r="A14" s="9" t="n"/>
      <c r="B14" s="9" t="n"/>
      <c r="C14" s="16" t="inlineStr">
        <is>
          <t>Return on assets (Op. profit / Total assets)</t>
        </is>
      </c>
      <c r="D14" s="28">
        <f>D8/D9</f>
        <v/>
      </c>
      <c r="E14" s="28">
        <f>E8/E9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6" t="inlineStr">
        <is>
          <t>Asset turnover (Revenue / Total assets)</t>
        </is>
      </c>
      <c r="D15" s="29">
        <f>D6/D9</f>
        <v/>
      </c>
      <c r="E15" s="29">
        <f>E6/E9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2" ht="18" customHeight="1">
      <c r="A2" s="1" t="n"/>
      <c r="B2" s="2" t="inlineStr">
        <is>
          <t>World A / B / C Side-by-Side -- Argentina + Turkiye Combined (hyperinflationary subsidiaries only; see Consolidation for the full group)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15" customHeight="1">
      <c r="A4" s="5" t="n"/>
      <c r="B4" s="5" t="n"/>
      <c r="C4" s="6" t="inlineStr">
        <is>
          <t>YEAR 2024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C5" s="7" t="inlineStr"/>
      <c r="D5" s="8" t="inlineStr">
        <is>
          <t>World A -- Current Rate</t>
        </is>
      </c>
      <c r="E5" s="8" t="inlineStr">
        <is>
          <t>World B -- US GAAP Temporal</t>
        </is>
      </c>
      <c r="F5" s="8" t="inlineStr">
        <is>
          <t>World C -- IFRS (IAS29+21)</t>
        </is>
      </c>
    </row>
    <row r="6" ht="14" customHeight="1">
      <c r="A6" s="9" t="n"/>
      <c r="B6" s="9" t="n"/>
      <c r="C6" s="22" t="inlineStr">
        <is>
          <t>Revenue</t>
        </is>
      </c>
      <c r="D6" s="23">
        <f>'Argentina_Schedules'!D52+'Turkiye_Schedules'!D52</f>
        <v/>
      </c>
      <c r="E6" s="23">
        <f>'Argentina_Schedules'!D52+'Turkiye_Schedules'!D52</f>
        <v/>
      </c>
      <c r="F6" s="23">
        <f>'Argentina_Schedules'!D40+'Turkiye_Schedules'!D40</f>
        <v/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22" t="inlineStr">
        <is>
          <t>COGS</t>
        </is>
      </c>
      <c r="D7" s="23">
        <f>'Argentina_Schedules'!D53+'Turkiye_Schedules'!D53</f>
        <v/>
      </c>
      <c r="E7" s="23">
        <f>'Argentina_Schedules'!D53+'Turkiye_Schedules'!D53</f>
        <v/>
      </c>
      <c r="F7" s="23">
        <f>'Argentina_Schedules'!D41+'Turkiye_Schedules'!D41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2" t="inlineStr">
        <is>
          <t>Operating profit</t>
        </is>
      </c>
      <c r="D8" s="23">
        <f>'Argentina_Schedules'!D56+'Turkiye_Schedules'!D56</f>
        <v/>
      </c>
      <c r="E8" s="23">
        <f>'Argentina_Schedules'!D56+'Turkiye_Schedules'!D56</f>
        <v/>
      </c>
      <c r="F8" s="23">
        <f>'Argentina_Schedules'!D44+'Turkiye_Schedules'!D44</f>
        <v/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2" t="inlineStr">
        <is>
          <t>Non-monetary assets (PPE etc.)</t>
        </is>
      </c>
      <c r="D9" s="23">
        <f>'Argentina_Schedules'!D50/'Argentina_Schedules'!D10+'Turkiye_Schedules'!D50/'Turkiye_Schedules'!D10</f>
        <v/>
      </c>
      <c r="E9" s="23">
        <f>'Argentina_Schedules'!D61+'Turkiye_Schedules'!D61</f>
        <v/>
      </c>
      <c r="F9" s="23">
        <f>'Argentina_Schedules'!D46+'Turkiye_Schedules'!D46</f>
        <v/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22" t="inlineStr">
        <is>
          <t>Total assets</t>
        </is>
      </c>
      <c r="D10" s="23">
        <f>'Argentina_Schedules'!D57+'Turkiye_Schedules'!D57</f>
        <v/>
      </c>
      <c r="E10" s="23">
        <f>'Argentina_Schedules'!D65+'Turkiye_Schedules'!D65</f>
        <v/>
      </c>
      <c r="F10" s="23">
        <f>'Argentina_Schedules'!D45+'Turkiye_Schedules'!D45</f>
        <v/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22" t="inlineStr">
        <is>
          <t>Net monetary / remeasurement gain-(loss)</t>
        </is>
      </c>
      <c r="D11" s="23">
        <f>'Argentina_Schedules'!D58+'Turkiye_Schedules'!D58</f>
        <v/>
      </c>
      <c r="E11" s="23">
        <f>'Argentina_Schedules'!D66+'Turkiye_Schedules'!D66</f>
        <v/>
      </c>
      <c r="F11" s="23">
        <f>'Argentina_Schedules'!D47+'Turkiye_Schedules'!D47</f>
        <v/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YEAR 2025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C14" s="7" t="inlineStr"/>
      <c r="D14" s="8" t="inlineStr">
        <is>
          <t>World A -- Current Rate</t>
        </is>
      </c>
      <c r="E14" s="8" t="inlineStr">
        <is>
          <t>World B -- US GAAP Temporal</t>
        </is>
      </c>
      <c r="F14" s="8" t="inlineStr">
        <is>
          <t>World C -- IFRS (IAS29+21)</t>
        </is>
      </c>
    </row>
    <row r="15" ht="14" customHeight="1">
      <c r="A15" s="9" t="n"/>
      <c r="B15" s="9" t="n"/>
      <c r="C15" s="22" t="inlineStr">
        <is>
          <t>Revenue</t>
        </is>
      </c>
      <c r="D15" s="23">
        <f>'Argentina_Schedules'!E52+'Turkiye_Schedules'!E52</f>
        <v/>
      </c>
      <c r="E15" s="23">
        <f>'Argentina_Schedules'!E52+'Turkiye_Schedules'!E52</f>
        <v/>
      </c>
      <c r="F15" s="23">
        <f>'Argentina_Schedules'!E40+'Turkiye_Schedules'!E40</f>
        <v/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22" t="inlineStr">
        <is>
          <t>COGS</t>
        </is>
      </c>
      <c r="D16" s="23">
        <f>'Argentina_Schedules'!E53+'Turkiye_Schedules'!E53</f>
        <v/>
      </c>
      <c r="E16" s="23">
        <f>'Argentina_Schedules'!E53+'Turkiye_Schedules'!E53</f>
        <v/>
      </c>
      <c r="F16" s="23">
        <f>'Argentina_Schedules'!E41+'Turkiye_Schedules'!E41</f>
        <v/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22" t="inlineStr">
        <is>
          <t>Operating profit</t>
        </is>
      </c>
      <c r="D17" s="23">
        <f>'Argentina_Schedules'!E56+'Turkiye_Schedules'!E56</f>
        <v/>
      </c>
      <c r="E17" s="23">
        <f>'Argentina_Schedules'!E56+'Turkiye_Schedules'!E56</f>
        <v/>
      </c>
      <c r="F17" s="23">
        <f>'Argentina_Schedules'!E44+'Turkiye_Schedules'!E44</f>
        <v/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22" t="inlineStr">
        <is>
          <t>Non-monetary assets (PPE etc.)</t>
        </is>
      </c>
      <c r="D18" s="23">
        <f>'Argentina_Schedules'!E50/'Argentina_Schedules'!E10+'Turkiye_Schedules'!E50/'Turkiye_Schedules'!E10</f>
        <v/>
      </c>
      <c r="E18" s="23">
        <f>'Argentina_Schedules'!E61+'Turkiye_Schedules'!E61</f>
        <v/>
      </c>
      <c r="F18" s="23">
        <f>'Argentina_Schedules'!E46+'Turkiye_Schedules'!E46</f>
        <v/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22" t="inlineStr">
        <is>
          <t>Total assets</t>
        </is>
      </c>
      <c r="D19" s="23">
        <f>'Argentina_Schedules'!E57+'Turkiye_Schedules'!E57</f>
        <v/>
      </c>
      <c r="E19" s="23">
        <f>'Argentina_Schedules'!E65+'Turkiye_Schedules'!E65</f>
        <v/>
      </c>
      <c r="F19" s="23">
        <f>'Argentina_Schedules'!E45+'Turkiye_Schedules'!E45</f>
        <v/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ht="14" customHeight="1">
      <c r="A20" s="9" t="n"/>
      <c r="B20" s="9" t="n"/>
      <c r="C20" s="22" t="inlineStr">
        <is>
          <t>Net monetary / remeasurement gain-(loss)</t>
        </is>
      </c>
      <c r="D20" s="23">
        <f>'Argentina_Schedules'!E58+'Turkiye_Schedules'!E58</f>
        <v/>
      </c>
      <c r="E20" s="23">
        <f>'Argentina_Schedules'!E66+'Turkiye_Schedules'!E66</f>
        <v/>
      </c>
      <c r="F20" s="23">
        <f>'Argentina_Schedules'!E47+'Turkiye_Schedules'!E47</f>
        <v/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2" ht="18" customHeight="1">
      <c r="A2" s="1" t="n"/>
      <c r="B2" s="2" t="inlineStr">
        <is>
          <t>Model 2025 Roll-Forward vs. Unilever's Real 2025 Disclosure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D4" s="8" t="inlineStr">
        <is>
          <t>Model</t>
        </is>
      </c>
      <c r="E4" s="8" t="inlineStr">
        <is>
          <t>Disclosed</t>
        </is>
      </c>
      <c r="F4" s="8" t="inlineStr">
        <is>
          <t>Gap (Model-Disclosed)</t>
        </is>
      </c>
    </row>
    <row r="5" ht="15" customHeight="1">
      <c r="A5" s="5" t="n"/>
      <c r="B5" s="5" t="n"/>
      <c r="C5" s="6" t="inlineStr">
        <is>
          <t>ARGENTINA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4" customHeight="1">
      <c r="A6" s="9" t="n"/>
      <c r="B6" s="9" t="n"/>
      <c r="C6" s="30" t="inlineStr">
        <is>
          <t>Total assets impact</t>
        </is>
      </c>
      <c r="D6" s="31" t="n">
        <v>183.6604180162951</v>
      </c>
      <c r="E6" s="31" t="n">
        <v>-199</v>
      </c>
      <c r="F6" s="31" t="n">
        <v>382.6604180162951</v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32" t="inlineStr">
        <is>
          <t>Turnover impact</t>
        </is>
      </c>
      <c r="D7" s="33" t="n">
        <v>-31.33697093335445</v>
      </c>
      <c r="E7" s="33" t="n">
        <v>-90</v>
      </c>
      <c r="F7" s="33" t="n">
        <v>58.66302906664555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32" t="inlineStr">
        <is>
          <t>Operating profit impact</t>
        </is>
      </c>
      <c r="D8" s="33" t="n">
        <v>-1.362479716802788</v>
      </c>
      <c r="E8" s="33" t="n">
        <v>-54</v>
      </c>
      <c r="F8" s="33" t="n">
        <v>52.63752028319721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32" t="inlineStr">
        <is>
          <t>Net monetary gain/(loss)</t>
        </is>
      </c>
      <c r="D9" s="33" t="n">
        <v>-23.77343116789523</v>
      </c>
      <c r="E9" s="33" t="n">
        <v>-46</v>
      </c>
      <c r="F9" s="33" t="n">
        <v>22.22656883210477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1" ht="15" customHeight="1">
      <c r="A11" s="5" t="n"/>
      <c r="B11" s="5" t="n"/>
      <c r="C11" s="6" t="inlineStr">
        <is>
          <t>TURKIYE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14" customHeight="1">
      <c r="A12" s="9" t="n"/>
      <c r="B12" s="9" t="n"/>
      <c r="C12" s="30" t="inlineStr">
        <is>
          <t>Total assets impact</t>
        </is>
      </c>
      <c r="D12" s="31" t="n">
        <v>46.1099882670614</v>
      </c>
      <c r="E12" s="31" t="n">
        <v>-20</v>
      </c>
      <c r="F12" s="31" t="n">
        <v>66.1099882670614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32" t="inlineStr">
        <is>
          <t>Turnover impact</t>
        </is>
      </c>
      <c r="D13" s="33" t="n">
        <v>-47.41828204208241</v>
      </c>
      <c r="E13" s="33" t="n">
        <v>-16</v>
      </c>
      <c r="F13" s="33" t="n">
        <v>-31.41828204208241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32" t="inlineStr">
        <is>
          <t>Operating profit impact</t>
        </is>
      </c>
      <c r="D14" s="33" t="n">
        <v>-3.29925548580519</v>
      </c>
      <c r="E14" s="33" t="n">
        <v>-46</v>
      </c>
      <c r="F14" s="33" t="n">
        <v>42.70074451419481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32" t="inlineStr">
        <is>
          <t>Net monetary gain/(loss)</t>
        </is>
      </c>
      <c r="D15" s="33" t="n">
        <v>-113.3107209773876</v>
      </c>
      <c r="E15" s="33" t="n">
        <v>-10</v>
      </c>
      <c r="F15" s="33" t="n">
        <v>-103.3107209773876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7" ht="40" customHeight="1">
      <c r="C17" s="34" t="inlineStr">
        <is>
          <t>See examples/unilever/research_output.md for full discussion of why total-assets impact structurally cannot flip sign in this model, and why Turkiye's 2025 operating-profit assumption differs from a pure roll-forward.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P1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30" customWidth="1" min="4" max="4"/>
    <col width="22" customWidth="1" min="5" max="5"/>
    <col width="14" customWidth="1" min="6" max="6"/>
    <col width="50" customWidth="1" min="7" max="7"/>
  </cols>
  <sheetData>
    <row r="2" ht="18" customHeight="1">
      <c r="A2" s="1" t="n"/>
      <c r="B2" s="2" t="inlineStr">
        <is>
          <t>Sources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6" t="inlineStr">
        <is>
          <t>Item</t>
        </is>
      </c>
      <c r="D4" s="6" t="inlineStr">
        <is>
          <t>Value</t>
        </is>
      </c>
      <c r="E4" s="6" t="inlineStr">
        <is>
          <t>Source</t>
        </is>
      </c>
      <c r="F4" s="6" t="inlineStr">
        <is>
          <t>Accessed</t>
        </is>
      </c>
      <c r="G4" s="6" t="inlineStr">
        <is>
          <t>URL</t>
        </is>
      </c>
    </row>
    <row r="5" ht="28" customHeight="1">
      <c r="C5" s="4" t="inlineStr">
        <is>
          <t>Unilever plc — 2024 Annual Report on Form 20-F (hyperinflation accounting policy note)</t>
        </is>
      </c>
      <c r="D5" s="4" t="inlineStr">
        <is>
          <t>Argentina/Türkiye 2024 IAS29 impact table</t>
        </is>
      </c>
      <c r="E5" s="35" t="inlineStr">
        <is>
          <t>U.S. SEC EDGAR</t>
        </is>
      </c>
      <c r="F5" s="35" t="inlineStr">
        <is>
          <t>2026-09-27</t>
        </is>
      </c>
      <c r="G5" s="4" t="inlineStr">
        <is>
          <t>https://www.sec.gov/Archives/edgar/data/217410/000021741025000015/ul-20241231.htm</t>
        </is>
      </c>
    </row>
    <row r="6" ht="28" customHeight="1">
      <c r="C6" s="4" t="inlineStr">
        <is>
          <t>Unilever plc — 2025 Annual Report on Form 20-F (hyperinflation accounting policy note)</t>
        </is>
      </c>
      <c r="D6" s="4" t="inlineStr">
        <is>
          <t>Argentina/Türkiye 2025 IAS29 impact table</t>
        </is>
      </c>
      <c r="E6" s="35" t="inlineStr">
        <is>
          <t>U.S. SEC EDGAR</t>
        </is>
      </c>
      <c r="F6" s="35" t="inlineStr">
        <is>
          <t>2026-09-27</t>
        </is>
      </c>
      <c r="G6" s="4" t="inlineStr">
        <is>
          <t>https://www.sec.gov/Archives/edgar/data/217410/000021741026000007/ul-20251231.htm</t>
        </is>
      </c>
    </row>
    <row r="7" ht="28" customHeight="1">
      <c r="C7" s="4" t="inlineStr">
        <is>
          <t>Unilever plc — Annual Report and Accounts 2025 (Excel workbook)</t>
        </is>
      </c>
      <c r="D7" s="4" t="inlineStr">
        <is>
          <t>Consolidated financial statements</t>
        </is>
      </c>
      <c r="E7" s="35" t="inlineStr">
        <is>
          <t>Unilever plc investor relations</t>
        </is>
      </c>
      <c r="F7" s="35" t="inlineStr">
        <is>
          <t>2026-09-27</t>
        </is>
      </c>
      <c r="G7" s="4" t="inlineStr">
        <is>
          <t>https://www.unilever.com/investors/annual-report-and-accounts/</t>
        </is>
      </c>
    </row>
    <row r="8" ht="28" customHeight="1">
      <c r="C8" s="4" t="inlineStr">
        <is>
          <t>IAS 29 Financial Reporting in Hyperinflationary Economies — restatement mechanics</t>
        </is>
      </c>
      <c r="D8" s="4" t="inlineStr">
        <is>
          <t>Monetary items not restated; non-monetary restated by price index; net monetary gain/loss recognized in P&amp;L</t>
        </is>
      </c>
      <c r="E8" s="35" t="inlineStr">
        <is>
          <t>IFRS Foundation</t>
        </is>
      </c>
      <c r="F8" s="35" t="inlineStr">
        <is>
          <t>2026-09-27</t>
        </is>
      </c>
      <c r="G8" s="4" t="inlineStr"/>
    </row>
    <row r="9" ht="28" customHeight="1">
      <c r="C9" s="4" t="inlineStr">
        <is>
          <t>IAS 21 The Effects of Changes in Foreign Exchange Rates — §42-43</t>
        </is>
      </c>
      <c r="D9" s="4" t="inlineStr">
        <is>
          <t>Restated hyperinflationary FS translated at the closing rate (not average)</t>
        </is>
      </c>
      <c r="E9" s="35" t="inlineStr">
        <is>
          <t>IFRS Foundation</t>
        </is>
      </c>
      <c r="F9" s="35" t="inlineStr">
        <is>
          <t>2026-09-27</t>
        </is>
      </c>
      <c r="G9" s="4" t="inlineStr"/>
    </row>
    <row r="10" ht="28" customHeight="1">
      <c r="C10" s="4" t="inlineStr">
        <is>
          <t>Coca-Cola FEMSA, S.A.B. de C.V. — 2025 Annual Report on Form 20-F</t>
        </is>
      </c>
      <c r="D10" s="4" t="inlineStr">
        <is>
          <t>Argentina net monetary position gain, H1 2025 vs H1 2024</t>
        </is>
      </c>
      <c r="E10" s="35" t="inlineStr">
        <is>
          <t>U.S. SEC EDGAR</t>
        </is>
      </c>
      <c r="F10" s="35" t="inlineStr">
        <is>
          <t>2026-09-27</t>
        </is>
      </c>
      <c r="G10" s="4" t="inlineStr">
        <is>
          <t>https://www.sec.gov/Archives/edgar/data/910631/000162828026025313/kof-20251231.htm</t>
        </is>
      </c>
    </row>
    <row r="11" ht="28" customHeight="1">
      <c r="C11" s="4" t="inlineStr">
        <is>
          <t>BBVA — 2023 Annual Report on Form 20-F</t>
        </is>
      </c>
      <c r="D11" s="4" t="inlineStr">
        <is>
          <t>Türkiye net monetary loss + inflation-linked-bond revaluation gain, FY2023/FY2022</t>
        </is>
      </c>
      <c r="E11" s="35" t="inlineStr">
        <is>
          <t>U.S. SEC EDGAR</t>
        </is>
      </c>
      <c r="F11" s="35" t="inlineStr">
        <is>
          <t>2026-09-27</t>
        </is>
      </c>
      <c r="G11" s="4" t="inlineStr">
        <is>
          <t>https://www.sec.gov/Archives/edgar/data/842180/000084218024000007/bbva-20231231.htm</t>
        </is>
      </c>
    </row>
    <row r="12" ht="28" customHeight="1">
      <c r="C12" s="4" t="inlineStr">
        <is>
          <t>IFRS Interpretations Committee — Assessing Indicators of Hyperinflationary Economies, July 2025 agenda decision</t>
        </is>
      </c>
      <c r="D12" s="4" t="inlineStr">
        <is>
          <t>Qualitative-indicator weighting; no new standard-setting project</t>
        </is>
      </c>
      <c r="E12" s="35" t="inlineStr">
        <is>
          <t>IFRS Foundation</t>
        </is>
      </c>
      <c r="F12" s="35" t="inlineStr">
        <is>
          <t>2026-09-27</t>
        </is>
      </c>
      <c r="G12" s="4" t="inlineStr">
        <is>
          <t>https://www.ifrs.org/projects/completed-projects/2025/assessing-indicators-of-hyperinflationary-economies-IAS-29/</t>
        </is>
      </c>
    </row>
    <row r="13" ht="28" customHeight="1">
      <c r="C13" s="4" t="inlineStr">
        <is>
          <t>EY — Hyperinflationary economies (updated April 2026)</t>
        </is>
      </c>
      <c r="D13" s="4" t="inlineStr">
        <is>
          <t>Current list: Argentina, Türkiye, Haiti, Iran, Lebanon, Malawi, South Sudan, Sudan, Venezuela, Zimbabwe</t>
        </is>
      </c>
      <c r="E13" s="35" t="inlineStr">
        <is>
          <t>EY</t>
        </is>
      </c>
      <c r="F13" s="35" t="inlineStr">
        <is>
          <t>2026-09-27</t>
        </is>
      </c>
      <c r="G13" s="4" t="inlineStr">
        <is>
          <t>https://www.ey.com/en_lt/technical/ifrs-technical-resources/hyperinflationary-economies-updated-april-2026</t>
        </is>
      </c>
    </row>
    <row r="14" ht="28" customHeight="1">
      <c r="C14" s="4" t="inlineStr">
        <is>
          <t>Colgate-Palmolive Company — Form 10-K FY2025</t>
        </is>
      </c>
      <c r="D14" s="4" t="inlineStr">
        <is>
          <t>Argentina/Türkiye/Nigeria named 'highly inflationary'; no material impact disclosed</t>
        </is>
      </c>
      <c r="E14" s="35" t="inlineStr">
        <is>
          <t>U.S. SEC EDGAR</t>
        </is>
      </c>
      <c r="F14" s="35" t="inlineStr">
        <is>
          <t>2026-09-27</t>
        </is>
      </c>
      <c r="G14" s="4" t="inlineStr">
        <is>
          <t>https://www.sec.gov/Archives/edgar/data/21665/000002166526000006/cl-20251231.htm</t>
        </is>
      </c>
    </row>
    <row r="15" ht="28" customHeight="1">
      <c r="C15" s="4" t="inlineStr">
        <is>
          <t>Reckitt Benckiser Group plc — Annual Report and Accounts 2025 (Financial Statements)</t>
        </is>
      </c>
      <c r="D15" s="4" t="inlineStr">
        <is>
          <t>Exchange-and-hyperinflation LFL revenue reconciling item, FY2025/FY2024; Argentina divestment (Essential Home sale, 31 Dec 2025)</t>
        </is>
      </c>
      <c r="E15" s="35" t="inlineStr">
        <is>
          <t>Reckitt Benckiser plc investor relations</t>
        </is>
      </c>
      <c r="F15" s="35" t="inlineStr">
        <is>
          <t>2026-09-27</t>
        </is>
      </c>
      <c r="G15" s="4" t="inlineStr">
        <is>
          <t>https://www.reckitt.com/investors/latest-annual-report/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2026-09-27T19:21:02Z</dcterms:created>
  <dcterms:modified xsi:type="dcterms:W3CDTF">2026-09-27T19:21:02Z</dcterms:modified>
</cp:coreProperties>
</file>