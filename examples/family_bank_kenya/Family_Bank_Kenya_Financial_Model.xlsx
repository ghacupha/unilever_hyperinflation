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Assumptions" sheetId="3" state="visible" r:id="rId3"/>
    <sheet name="Scenarios" sheetId="4" state="visible" r:id="rId4"/>
    <sheet name="Model" sheetId="5" state="visible" r:id="rId5"/>
    <sheet name="Output" sheetId="6" state="visible" r:id="rId6"/>
    <sheet name="Sources" sheetId="7" state="visible" r:id="rId7"/>
  </sheets>
  <definedNames>
    <definedName name="_xlnm.Print_Area" localSheetId="0">'Cover'!$A$1:$J$29</definedName>
    <definedName name="_xlnm.Print_Titles" localSheetId="1">'Summary'!$1:$1</definedName>
    <definedName name="_xlnm.Print_Area" localSheetId="1">'Summary'!$B$1:$O$63</definedName>
    <definedName name="_xlnm.Print_Titles" localSheetId="2">'Assumptions'!$1:$1</definedName>
    <definedName name="_xlnm.Print_Area" localSheetId="2">'Assumptions'!$B$1:$O$175</definedName>
    <definedName name="_xlnm.Print_Titles" localSheetId="3">'Scenarios'!$1:$1</definedName>
    <definedName name="_xlnm.Print_Area" localSheetId="3">'Scenarios'!$B$1:$O$63</definedName>
    <definedName name="_xlnm.Print_Titles" localSheetId="4">'Model'!$1:$1</definedName>
    <definedName name="_xlnm.Print_Area" localSheetId="4">'Model'!$B$1:$O$12,'Model'!$B$13:$O$101,'Model'!$B$102:$O$125,'Model'!$B$126:$O$142,'Model'!$B$143:$O$209,'Model'!$B$210:$O$240</definedName>
    <definedName name="_xlnm.Print_Titles" localSheetId="5">'Output'!$1:$1</definedName>
    <definedName name="_xlnm.Print_Area" localSheetId="5">'Output'!$B$1:$O$84</definedName>
    <definedName name="_xlnm.Print_Area" localSheetId="6">'Sources'!$A$1:$G$19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00%"/>
    <numFmt numFmtId="166" formatCode="0.0000"/>
    <numFmt numFmtId="167" formatCode="#,##0.000"/>
    <numFmt numFmtId="168" formatCode="#,##0.0"/>
    <numFmt numFmtId="169" formatCode="#,##0.000000"/>
    <numFmt numFmtId="170" formatCode="+0.0%;-0.0%"/>
  </numFmts>
  <fonts count="24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i val="1"/>
      <color rgb="00C9A227"/>
      <sz val="13"/>
    </font>
    <font>
      <name val="Calibri"/>
      <b val="1"/>
      <color rgb="001F3864"/>
      <sz val="10"/>
    </font>
    <font>
      <name val="Calibri"/>
      <color rgb="001F1F1F"/>
      <sz val="10"/>
    </font>
    <font>
      <name val="Calibri"/>
      <b val="1"/>
      <color rgb="001F3864"/>
      <sz val="13"/>
    </font>
    <font>
      <name val="Calibri"/>
      <color rgb="00595959"/>
      <sz val="10"/>
    </font>
    <font>
      <name val="Calibri"/>
      <b val="1"/>
      <color rgb="001F3864"/>
      <sz val="14"/>
    </font>
    <font>
      <name val="Calibri"/>
      <b val="1"/>
      <color rgb="00C9A227"/>
      <sz val="10"/>
    </font>
    <font>
      <name val="Calibri"/>
      <b val="1"/>
      <color rgb="00FFFFFF"/>
      <sz val="10"/>
    </font>
    <font>
      <name val="Calibri"/>
      <b val="1"/>
      <color rgb="001F4E96"/>
      <sz val="10"/>
    </font>
    <font>
      <name val="Calibri"/>
      <i val="1"/>
      <color rgb="00595959"/>
      <sz val="9"/>
    </font>
    <font>
      <name val="Calibri"/>
      <b val="1"/>
      <color rgb="001F1F1F"/>
      <sz val="10"/>
    </font>
    <font>
      <name val="Calibri"/>
      <b val="1"/>
      <color rgb="0000695C"/>
      <sz val="10"/>
    </font>
    <font>
      <name val="Calibri"/>
      <b val="1"/>
      <color rgb="00ED7D31"/>
      <sz val="10"/>
    </font>
    <font>
      <name val="Calibri"/>
      <color rgb="001F4E96"/>
      <sz val="10"/>
    </font>
    <font>
      <name val="Calibri"/>
      <color rgb="00ED7D31"/>
      <sz val="10"/>
    </font>
    <font>
      <name val="Calibri"/>
      <i val="1"/>
      <color rgb="00595959"/>
      <sz val="10"/>
    </font>
    <font>
      <name val="Calibri"/>
      <color rgb="0000695C"/>
      <sz val="10"/>
    </font>
    <font>
      <name val="Calibri"/>
      <b val="1"/>
      <color rgb="00FFFFFF"/>
      <sz val="11"/>
    </font>
    <font>
      <name val="Calibri"/>
      <color rgb="00C00000"/>
      <sz val="10"/>
    </font>
    <font>
      <name val="Calibri"/>
      <color rgb="00375623"/>
      <sz val="10"/>
    </font>
    <font>
      <name val="Calibri"/>
      <b val="1"/>
      <color rgb="00595959"/>
      <sz val="10"/>
    </font>
    <font>
      <name val="Calibri"/>
      <i val="1"/>
      <color rgb="00C00000"/>
      <sz val="9"/>
    </font>
  </fonts>
  <fills count="11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2F5597"/>
        <bgColor rgb="002F5597"/>
      </patternFill>
    </fill>
    <fill>
      <patternFill patternType="solid">
        <fgColor rgb="00BDD7EE"/>
        <bgColor rgb="00BDD7EE"/>
      </patternFill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7"/>
        <bgColor rgb="00D6E4F7"/>
      </patternFill>
    </fill>
    <fill>
      <patternFill patternType="solid">
        <fgColor rgb="00C9A227"/>
        <bgColor rgb="00C9A227"/>
      </patternFill>
    </fill>
    <fill>
      <patternFill patternType="solid">
        <fgColor rgb="00375623"/>
        <bgColor rgb="00375623"/>
      </patternFill>
    </fill>
    <fill>
      <patternFill patternType="solid">
        <fgColor rgb="00C00000"/>
        <bgColor rgb="00C00000"/>
      </patternFill>
    </fill>
  </fills>
  <borders count="6">
    <border>
      <left/>
      <right/>
      <top/>
      <bottom/>
      <diagonal/>
    </border>
    <border>
      <left style="thin">
        <color rgb="001F3864"/>
      </left>
      <right/>
      <top style="thin">
        <color rgb="001F3864"/>
      </top>
      <bottom style="thin">
        <color rgb="001F3864"/>
      </bottom>
    </border>
    <border>
      <left/>
      <right/>
      <top style="thin">
        <color rgb="001F3864"/>
      </top>
      <bottom style="thin">
        <color rgb="001F3864"/>
      </bottom>
    </border>
    <border>
      <left/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19" fillId="5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0" fillId="6" borderId="0" pivotButton="0" quotePrefix="0" xfId="0"/>
    <xf numFmtId="0" fontId="12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168" fontId="12" fillId="6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168" fontId="4" fillId="2" borderId="0" applyAlignment="1" pivotButton="0" quotePrefix="0" xfId="0">
      <alignment horizontal="right" vertical="center"/>
    </xf>
    <xf numFmtId="164" fontId="4" fillId="2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164" fontId="4" fillId="6" borderId="0" applyAlignment="1" pivotButton="0" quotePrefix="0" xfId="0">
      <alignment horizontal="right" vertical="center"/>
    </xf>
    <xf numFmtId="0" fontId="0" fillId="9" borderId="0" pivotButton="0" quotePrefix="0" xfId="0"/>
    <xf numFmtId="0" fontId="19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19" fillId="1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70" fontId="20" fillId="0" borderId="0" applyAlignment="1" pivotButton="0" quotePrefix="0" xfId="0">
      <alignment horizontal="right" vertical="center"/>
    </xf>
    <xf numFmtId="170" fontId="2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" fontId="15" fillId="0" borderId="0" applyAlignment="1" pivotButton="0" quotePrefix="0" xfId="0">
      <alignment horizontal="right" vertical="center"/>
    </xf>
    <xf numFmtId="164" fontId="15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2" fontId="16" fillId="0" borderId="0" applyAlignment="1" pivotButton="0" quotePrefix="0" xfId="0">
      <alignment horizontal="right" vertical="center"/>
    </xf>
    <xf numFmtId="4" fontId="15" fillId="0" borderId="0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165" fontId="13" fillId="0" borderId="2" applyAlignment="1" pivotButton="0" quotePrefix="0" xfId="0">
      <alignment horizontal="right" vertical="center"/>
    </xf>
    <xf numFmtId="165" fontId="13" fillId="0" borderId="3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165" fontId="16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164" fontId="13" fillId="0" borderId="3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0" fontId="16" fillId="0" borderId="0" applyAlignment="1" pivotButton="0" quotePrefix="0" xfId="0">
      <alignment horizontal="right" vertical="center"/>
    </xf>
    <xf numFmtId="9" fontId="16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4" fontId="16" fillId="0" borderId="0" applyAlignment="1" pivotButton="0" quotePrefix="0" xfId="0">
      <alignment horizontal="right" vertical="center"/>
    </xf>
    <xf numFmtId="164" fontId="13" fillId="0" borderId="4" applyAlignment="1" pivotButton="0" quotePrefix="0" xfId="0">
      <alignment horizontal="right" vertical="center"/>
    </xf>
    <xf numFmtId="10" fontId="15" fillId="0" borderId="0" applyAlignment="1" pivotButton="0" quotePrefix="0" xfId="0">
      <alignment horizontal="right" vertical="center"/>
    </xf>
    <xf numFmtId="2" fontId="15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7" fontId="15" fillId="0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168" fontId="15" fillId="0" borderId="0" applyAlignment="1" pivotButton="0" quotePrefix="0" xfId="0">
      <alignment horizontal="right" vertical="center"/>
    </xf>
    <xf numFmtId="1" fontId="10" fillId="0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168" fontId="13" fillId="2" borderId="1" applyAlignment="1" pivotButton="0" quotePrefix="0" xfId="0">
      <alignment horizontal="right" vertical="center"/>
    </xf>
    <xf numFmtId="168" fontId="13" fillId="2" borderId="2" applyAlignment="1" pivotButton="0" quotePrefix="0" xfId="0">
      <alignment horizontal="right" vertical="center"/>
    </xf>
    <xf numFmtId="168" fontId="13" fillId="2" borderId="3" applyAlignment="1" pivotButton="0" quotePrefix="0" xfId="0">
      <alignment horizontal="right" vertical="center"/>
    </xf>
    <xf numFmtId="168" fontId="4" fillId="6" borderId="0" applyAlignment="1" pivotButton="0" quotePrefix="0" xfId="0">
      <alignment horizontal="right" vertical="center"/>
    </xf>
    <xf numFmtId="164" fontId="13" fillId="2" borderId="1" applyAlignment="1" pivotButton="0" quotePrefix="0" xfId="0">
      <alignment horizontal="right" vertical="center"/>
    </xf>
    <xf numFmtId="164" fontId="13" fillId="2" borderId="2" applyAlignment="1" pivotButton="0" quotePrefix="0" xfId="0">
      <alignment horizontal="right" vertical="center"/>
    </xf>
    <xf numFmtId="164" fontId="13" fillId="2" borderId="3" applyAlignment="1" pivotButton="0" quotePrefix="0" xfId="0">
      <alignment horizontal="right" vertical="center"/>
    </xf>
    <xf numFmtId="0" fontId="0" fillId="8" borderId="0" pivotButton="0" quotePrefix="0" xfId="0"/>
    <xf numFmtId="0" fontId="12" fillId="8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168" fontId="12" fillId="2" borderId="0" applyAlignment="1" pivotButton="0" quotePrefix="0" xfId="0">
      <alignment horizontal="right" vertical="center"/>
    </xf>
    <xf numFmtId="168" fontId="13" fillId="2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8" fontId="15" fillId="6" borderId="0" applyAlignment="1" pivotButton="0" quotePrefix="0" xfId="0">
      <alignment horizontal="right" vertical="center"/>
    </xf>
    <xf numFmtId="168" fontId="18" fillId="6" borderId="0" applyAlignment="1" pivotButton="0" quotePrefix="0" xfId="0">
      <alignment horizontal="right" vertical="center"/>
    </xf>
    <xf numFmtId="168" fontId="15" fillId="2" borderId="0" applyAlignment="1" pivotButton="0" quotePrefix="0" xfId="0">
      <alignment horizontal="right" vertical="center"/>
    </xf>
    <xf numFmtId="168" fontId="18" fillId="2" borderId="0" applyAlignment="1" pivotButton="0" quotePrefix="0" xfId="0">
      <alignment horizontal="right" vertical="center"/>
    </xf>
    <xf numFmtId="0" fontId="0" fillId="7" borderId="0" pivotButton="0" quotePrefix="0" xfId="0"/>
    <xf numFmtId="0" fontId="12" fillId="7" borderId="0" applyAlignment="1" pivotButton="0" quotePrefix="0" xfId="0">
      <alignment horizontal="left" vertical="center"/>
    </xf>
    <xf numFmtId="168" fontId="12" fillId="7" borderId="5" applyAlignment="1" pivotButton="0" quotePrefix="0" xfId="0">
      <alignment horizontal="right" vertical="center"/>
    </xf>
    <xf numFmtId="164" fontId="15" fillId="2" borderId="0" applyAlignment="1" pivotButton="0" quotePrefix="0" xfId="0">
      <alignment horizontal="right" vertical="center"/>
    </xf>
    <xf numFmtId="168" fontId="10" fillId="2" borderId="0" applyAlignment="1" pivotButton="0" quotePrefix="0" xfId="0">
      <alignment horizontal="right" vertical="center"/>
    </xf>
    <xf numFmtId="168" fontId="9" fillId="5" borderId="5" applyAlignment="1" pivotButton="0" quotePrefix="0" xfId="0">
      <alignment horizontal="right" vertical="center"/>
    </xf>
    <xf numFmtId="0" fontId="0" fillId="4" borderId="0" pivotButton="0" quotePrefix="0" xfId="0"/>
    <xf numFmtId="169" fontId="12" fillId="2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8" fillId="2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4" fontId="12" fillId="2" borderId="0" applyAlignment="1" pivotButton="0" quotePrefix="0" xfId="0">
      <alignment horizontal="right" vertical="center"/>
    </xf>
    <xf numFmtId="10" fontId="4" fillId="2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2" fontId="15" fillId="2" borderId="0" applyAlignment="1" pivotButton="0" quotePrefix="0" xfId="0">
      <alignment horizontal="right" vertical="center"/>
    </xf>
    <xf numFmtId="2" fontId="4" fillId="2" borderId="0" applyAlignment="1" pivotButton="0" quotePrefix="0" xfId="0">
      <alignment horizontal="right" vertical="center"/>
    </xf>
    <xf numFmtId="2" fontId="10" fillId="2" borderId="0" applyAlignment="1" pivotButton="0" quotePrefix="0" xfId="0">
      <alignment horizontal="right" vertical="center"/>
    </xf>
    <xf numFmtId="2" fontId="12" fillId="2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C00000"/>
          <bgColor rgb="00C00000"/>
        </patternFill>
      </fill>
    </dxf>
    <dxf>
      <fill>
        <patternFill patternType="solid">
          <fgColor rgb="00375623"/>
          <bgColor rgb="0037562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2" customWidth="1" min="3" max="3"/>
    <col width="16" customWidth="1" min="4" max="4"/>
    <col width="4" customWidth="1" min="5" max="5"/>
    <col width="12" customWidth="1" min="6" max="6"/>
    <col width="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4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1" t="n"/>
      <c r="C5" s="2" t="inlineStr">
        <is>
          <t>FAMILY BANK LIMITED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1" t="n"/>
      <c r="B7" s="1" t="n"/>
      <c r="C7" s="3" t="inlineStr">
        <is>
          <t>Five-Year Bank Financial Model  |  2026 – 2030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>
      <c r="A10" s="1" t="n"/>
      <c r="B10" s="1" t="n"/>
      <c r="C10" s="1" t="n"/>
      <c r="D10" s="4" t="inlineStr">
        <is>
          <t>Currency:</t>
        </is>
      </c>
      <c r="E10" s="1" t="n"/>
      <c r="F10" s="1" t="n"/>
      <c r="G10" s="5" t="inlineStr">
        <is>
          <t>KES – Millions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>
      <c r="A11" s="1" t="n"/>
      <c r="B11" s="1" t="n"/>
      <c r="C11" s="1" t="n"/>
      <c r="D11" s="4" t="inlineStr">
        <is>
          <t>Projection Period:</t>
        </is>
      </c>
      <c r="E11" s="1" t="n"/>
      <c r="F11" s="1" t="n"/>
      <c r="G11" s="5" t="inlineStr">
        <is>
          <t>2026 to 2030 (5 Years)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A12" s="1" t="n"/>
      <c r="B12" s="1" t="n"/>
      <c r="C12" s="1" t="n"/>
      <c r="D12" s="4" t="inlineStr">
        <is>
          <t>Scenarios:</t>
        </is>
      </c>
      <c r="E12" s="1" t="n"/>
      <c r="F12" s="1" t="n"/>
      <c r="G12" s="5" t="inlineStr">
        <is>
          <t>Base Case  |  Best Case  |  Worst Case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1" t="n"/>
      <c r="C13" s="1" t="n"/>
      <c r="D13" s="4" t="inlineStr">
        <is>
          <t>Prepared By:</t>
        </is>
      </c>
      <c r="E13" s="1" t="n"/>
      <c r="F13" s="1" t="n"/>
      <c r="G13" s="5" t="inlineStr">
        <is>
          <t>Family Bank Limited — Management</t>
        </is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" t="n"/>
      <c r="B14" s="1" t="n"/>
      <c r="C14" s="1" t="n"/>
      <c r="D14" s="4" t="inlineStr">
        <is>
          <t>Classification:</t>
        </is>
      </c>
      <c r="E14" s="1" t="n"/>
      <c r="F14" s="1" t="n"/>
      <c r="G14" s="5" t="inlineStr">
        <is>
          <t>This document is strictly confidential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6" t="inlineStr">
        <is>
          <t>Model Contents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7" t="inlineStr">
        <is>
          <t>•  Summary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7" t="inlineStr">
        <is>
          <t>•  Assumptions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7" t="inlineStr">
        <is>
          <t>•  Scenarios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7" t="inlineStr">
        <is>
          <t>•  Model (Loan Book, IFRS 9, Statements, Capital, Liquidity)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7" t="inlineStr">
        <is>
          <t>•  Output (DDM, Residual Income, P/B-ROE)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7" t="inlineStr">
        <is>
          <t>•  Sources (external market-data references)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2" customWidth="1" min="3" max="3"/>
    <col width="16" customWidth="1" min="4" max="4"/>
    <col width="4" customWidth="1" min="5" max="5"/>
    <col width="12" customWidth="1" min="6" max="6"/>
    <col width="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4" customWidth="1" min="16" max="16"/>
  </cols>
  <sheetData>
    <row r="1">
      <c r="C1" s="8" t="inlineStr">
        <is>
          <t>Family Bank Limited</t>
        </is>
      </c>
      <c r="O1" s="9">
        <f>HYPERLINK("#'Scenarios'!D5","Currently running: "&amp;UPPER(CHOOSE('Scenarios'!$D$5,"Base","Best","Worst"))&amp;" CASE")</f>
        <v/>
      </c>
    </row>
    <row r="3">
      <c r="C3" s="10" t="inlineStr">
        <is>
          <t>Summary Financial Outputs — Three Scenarios</t>
        </is>
      </c>
    </row>
    <row r="5" ht="18" customHeight="1">
      <c r="A5" s="11" t="n"/>
      <c r="B5" s="12" t="inlineStr">
        <is>
          <t>BASE CASE — Financial Summary</t>
        </is>
      </c>
      <c r="M5" s="11" t="n"/>
      <c r="N5" s="11" t="n"/>
      <c r="O5" s="11" t="n"/>
      <c r="P5" s="11" t="n"/>
    </row>
    <row r="6" ht="14" customHeight="1">
      <c r="A6" s="13" t="n"/>
      <c r="B6" s="13" t="n"/>
      <c r="C6" s="14" t="inlineStr"/>
      <c r="D6" s="13" t="n"/>
      <c r="E6" s="13" t="n"/>
      <c r="F6" s="13" t="n"/>
      <c r="G6" s="13" t="n"/>
      <c r="H6" s="13" t="n"/>
      <c r="I6" s="13" t="n"/>
      <c r="J6" s="13" t="n"/>
      <c r="K6" s="15" t="inlineStr">
        <is>
          <t>2026P</t>
        </is>
      </c>
      <c r="L6" s="15" t="inlineStr">
        <is>
          <t>2027P</t>
        </is>
      </c>
      <c r="M6" s="15" t="inlineStr">
        <is>
          <t>2028P</t>
        </is>
      </c>
      <c r="N6" s="15" t="inlineStr">
        <is>
          <t>2029P</t>
        </is>
      </c>
      <c r="O6" s="15" t="inlineStr">
        <is>
          <t>2030P</t>
        </is>
      </c>
      <c r="P6" s="13" t="n"/>
    </row>
    <row r="7" ht="5" customHeight="1"/>
    <row r="8" ht="14" customHeight="1">
      <c r="A8" s="16" t="n"/>
      <c r="B8" s="16" t="n"/>
      <c r="C8" s="17" t="inlineStr">
        <is>
          <t>Total Income (NII + Non-Interest)</t>
        </is>
      </c>
      <c r="D8" s="16" t="n"/>
      <c r="E8" s="16" t="n"/>
      <c r="F8" s="18" t="inlineStr">
        <is>
          <t>(KES MM)</t>
        </is>
      </c>
      <c r="G8" s="16" t="n"/>
      <c r="H8" s="16" t="n"/>
      <c r="I8" s="16" t="n"/>
      <c r="J8" s="16" t="n"/>
      <c r="K8" s="19" t="n">
        <v>21779.051812318</v>
      </c>
      <c r="L8" s="19" t="n">
        <v>23349.2763862683</v>
      </c>
      <c r="M8" s="19" t="n">
        <v>25023.82804053132</v>
      </c>
      <c r="N8" s="19" t="n">
        <v>26805.88026419953</v>
      </c>
      <c r="O8" s="19" t="n">
        <v>28697.67243099133</v>
      </c>
      <c r="P8" s="16" t="n"/>
    </row>
    <row r="9" ht="14" customHeight="1">
      <c r="A9" s="1" t="n"/>
      <c r="B9" s="1" t="n"/>
      <c r="C9" s="5" t="inlineStr">
        <is>
          <t>Net Interest Income</t>
        </is>
      </c>
      <c r="D9" s="1" t="n"/>
      <c r="E9" s="1" t="n"/>
      <c r="F9" s="20" t="inlineStr">
        <is>
          <t>(KES MM)</t>
        </is>
      </c>
      <c r="G9" s="1" t="n"/>
      <c r="H9" s="1" t="n"/>
      <c r="I9" s="1" t="n"/>
      <c r="J9" s="1" t="n"/>
      <c r="K9" s="21" t="n">
        <v>17293.616617</v>
      </c>
      <c r="L9" s="21" t="n">
        <v>18154.576906614</v>
      </c>
      <c r="M9" s="21" t="n">
        <v>19007.0629402555</v>
      </c>
      <c r="N9" s="21" t="n">
        <v>19836.21406535878</v>
      </c>
      <c r="O9" s="21" t="n">
        <v>20623.33855581822</v>
      </c>
      <c r="P9" s="1" t="n"/>
    </row>
    <row r="10" ht="14" customHeight="1">
      <c r="A10" s="16" t="n"/>
      <c r="B10" s="16" t="n"/>
      <c r="C10" s="17" t="inlineStr">
        <is>
          <t>Net Profit After Tax</t>
        </is>
      </c>
      <c r="D10" s="16" t="n"/>
      <c r="E10" s="16" t="n"/>
      <c r="F10" s="18" t="inlineStr">
        <is>
          <t>(KES MM)</t>
        </is>
      </c>
      <c r="G10" s="16" t="n"/>
      <c r="H10" s="16" t="n"/>
      <c r="I10" s="16" t="n"/>
      <c r="J10" s="16" t="n"/>
      <c r="K10" s="19" t="n">
        <v>6771.010186695683</v>
      </c>
      <c r="L10" s="19" t="n">
        <v>7189.909517567552</v>
      </c>
      <c r="M10" s="19" t="n">
        <v>7475.908398620508</v>
      </c>
      <c r="N10" s="19" t="n">
        <v>7786.389881950714</v>
      </c>
      <c r="O10" s="19" t="n">
        <v>8111.198034630094</v>
      </c>
      <c r="P10" s="16" t="n"/>
    </row>
    <row r="11" ht="14" customHeight="1">
      <c r="A11" s="1" t="n"/>
      <c r="B11" s="1" t="n"/>
      <c r="C11" s="5" t="inlineStr">
        <is>
          <t>Total Capital Ratio</t>
        </is>
      </c>
      <c r="D11" s="1" t="n"/>
      <c r="E11" s="1" t="n"/>
      <c r="F11" s="1" t="n"/>
      <c r="G11" s="1" t="n"/>
      <c r="H11" s="1" t="n"/>
      <c r="I11" s="1" t="n"/>
      <c r="J11" s="1" t="n"/>
      <c r="K11" s="22" t="n">
        <v>0.1963206331440639</v>
      </c>
      <c r="L11" s="22" t="n">
        <v>0.198180888576943</v>
      </c>
      <c r="M11" s="22" t="n">
        <v>0.1982868622481029</v>
      </c>
      <c r="N11" s="22" t="n">
        <v>0.1969591051842582</v>
      </c>
      <c r="O11" s="22" t="n">
        <v>0.1944442952557891</v>
      </c>
      <c r="P11" s="1" t="n"/>
    </row>
    <row r="12" ht="14" customHeight="1">
      <c r="A12" s="16" t="n"/>
      <c r="B12" s="16" t="n"/>
      <c r="C12" s="23" t="inlineStr">
        <is>
          <t>NPL Ratio</t>
        </is>
      </c>
      <c r="D12" s="16" t="n"/>
      <c r="E12" s="16" t="n"/>
      <c r="F12" s="16" t="n"/>
      <c r="G12" s="16" t="n"/>
      <c r="H12" s="16" t="n"/>
      <c r="I12" s="16" t="n"/>
      <c r="J12" s="16" t="n"/>
      <c r="K12" s="24" t="n">
        <v>0.1077086281405681</v>
      </c>
      <c r="L12" s="24" t="n">
        <v>0.09527460059494551</v>
      </c>
      <c r="M12" s="24" t="n">
        <v>0.08669025988842191</v>
      </c>
      <c r="N12" s="24" t="n">
        <v>0.08071982199395002</v>
      </c>
      <c r="O12" s="24" t="n">
        <v>0.07653694880745758</v>
      </c>
      <c r="P12" s="16" t="n"/>
    </row>
    <row r="14" ht="18" customHeight="1">
      <c r="A14" s="25" t="n"/>
      <c r="B14" s="26" t="inlineStr">
        <is>
          <t>BEST CASE — Financial Summary</t>
        </is>
      </c>
      <c r="M14" s="25" t="n"/>
      <c r="N14" s="25" t="n"/>
      <c r="O14" s="25" t="n"/>
      <c r="P14" s="25" t="n"/>
    </row>
    <row r="15" ht="14" customHeight="1">
      <c r="A15" s="13" t="n"/>
      <c r="B15" s="13" t="n"/>
      <c r="C15" s="14" t="inlineStr"/>
      <c r="D15" s="13" t="n"/>
      <c r="E15" s="13" t="n"/>
      <c r="F15" s="13" t="n"/>
      <c r="G15" s="13" t="n"/>
      <c r="H15" s="13" t="n"/>
      <c r="I15" s="13" t="n"/>
      <c r="J15" s="13" t="n"/>
      <c r="K15" s="15" t="inlineStr">
        <is>
          <t>2026P</t>
        </is>
      </c>
      <c r="L15" s="15" t="inlineStr">
        <is>
          <t>2027P</t>
        </is>
      </c>
      <c r="M15" s="15" t="inlineStr">
        <is>
          <t>2028P</t>
        </is>
      </c>
      <c r="N15" s="15" t="inlineStr">
        <is>
          <t>2029P</t>
        </is>
      </c>
      <c r="O15" s="15" t="inlineStr">
        <is>
          <t>2030P</t>
        </is>
      </c>
      <c r="P15" s="13" t="n"/>
    </row>
    <row r="16" ht="5" customHeight="1"/>
    <row r="17" ht="14" customHeight="1">
      <c r="A17" s="16" t="n"/>
      <c r="B17" s="16" t="n"/>
      <c r="C17" s="17" t="inlineStr">
        <is>
          <t>Total Income (NII + Non-Interest)</t>
        </is>
      </c>
      <c r="D17" s="16" t="n"/>
      <c r="E17" s="16" t="n"/>
      <c r="F17" s="18" t="inlineStr">
        <is>
          <t>(KES MM)</t>
        </is>
      </c>
      <c r="G17" s="16" t="n"/>
      <c r="H17" s="16" t="n"/>
      <c r="I17" s="16" t="n"/>
      <c r="J17" s="16" t="n"/>
      <c r="K17" s="19" t="n">
        <v>22154.378412618</v>
      </c>
      <c r="L17" s="19" t="n">
        <v>24196.46697975825</v>
      </c>
      <c r="M17" s="19" t="n">
        <v>26458.27067923859</v>
      </c>
      <c r="N17" s="19" t="n">
        <v>28965.11629652125</v>
      </c>
      <c r="O17" s="19" t="n">
        <v>31745.24557872688</v>
      </c>
      <c r="P17" s="16" t="n"/>
    </row>
    <row r="18" ht="14" customHeight="1">
      <c r="A18" s="1" t="n"/>
      <c r="B18" s="1" t="n"/>
      <c r="C18" s="5" t="inlineStr">
        <is>
          <t>Net Interest Income</t>
        </is>
      </c>
      <c r="D18" s="1" t="n"/>
      <c r="E18" s="1" t="n"/>
      <c r="F18" s="20" t="inlineStr">
        <is>
          <t>(KES MM)</t>
        </is>
      </c>
      <c r="G18" s="1" t="n"/>
      <c r="H18" s="1" t="n"/>
      <c r="I18" s="1" t="n"/>
      <c r="J18" s="1" t="n"/>
      <c r="K18" s="21" t="n">
        <v>17668.9432173</v>
      </c>
      <c r="L18" s="21" t="n">
        <v>19001.76750010395</v>
      </c>
      <c r="M18" s="21" t="n">
        <v>20441.50557896277</v>
      </c>
      <c r="N18" s="21" t="n">
        <v>21995.4500976805</v>
      </c>
      <c r="O18" s="21" t="n">
        <v>23670.91170355377</v>
      </c>
      <c r="P18" s="1" t="n"/>
    </row>
    <row r="19" ht="14" customHeight="1">
      <c r="A19" s="16" t="n"/>
      <c r="B19" s="16" t="n"/>
      <c r="C19" s="17" t="inlineStr">
        <is>
          <t>Net Profit After Tax</t>
        </is>
      </c>
      <c r="D19" s="16" t="n"/>
      <c r="E19" s="16" t="n"/>
      <c r="F19" s="18" t="inlineStr">
        <is>
          <t>(KES MM)</t>
        </is>
      </c>
      <c r="G19" s="16" t="n"/>
      <c r="H19" s="16" t="n"/>
      <c r="I19" s="16" t="n"/>
      <c r="J19" s="16" t="n"/>
      <c r="K19" s="19" t="n">
        <v>7051.238893205503</v>
      </c>
      <c r="L19" s="19" t="n">
        <v>7858.787763896542</v>
      </c>
      <c r="M19" s="19" t="n">
        <v>8649.260971632892</v>
      </c>
      <c r="N19" s="19" t="n">
        <v>9565.372164150038</v>
      </c>
      <c r="O19" s="19" t="n">
        <v>10618.00009457911</v>
      </c>
      <c r="P19" s="16" t="n"/>
    </row>
    <row r="20" ht="14" customHeight="1">
      <c r="A20" s="1" t="n"/>
      <c r="B20" s="1" t="n"/>
      <c r="C20" s="5" t="inlineStr">
        <is>
          <t>Total Capital Ratio</t>
        </is>
      </c>
      <c r="D20" s="1" t="n"/>
      <c r="E20" s="1" t="n"/>
      <c r="F20" s="1" t="n"/>
      <c r="G20" s="1" t="n"/>
      <c r="H20" s="1" t="n"/>
      <c r="I20" s="1" t="n"/>
      <c r="J20" s="1" t="n"/>
      <c r="K20" s="22" t="n">
        <v>0.1932757732699934</v>
      </c>
      <c r="L20" s="22" t="n">
        <v>0.1930147727417736</v>
      </c>
      <c r="M20" s="22" t="n">
        <v>0.1919481342013102</v>
      </c>
      <c r="N20" s="22" t="n">
        <v>0.1903066730616154</v>
      </c>
      <c r="O20" s="22" t="n">
        <v>0.1882592236559227</v>
      </c>
      <c r="P20" s="1" t="n"/>
    </row>
    <row r="21" ht="14" customHeight="1">
      <c r="A21" s="16" t="n"/>
      <c r="B21" s="16" t="n"/>
      <c r="C21" s="23" t="inlineStr">
        <is>
          <t>NPL Ratio</t>
        </is>
      </c>
      <c r="D21" s="16" t="n"/>
      <c r="E21" s="16" t="n"/>
      <c r="F21" s="16" t="n"/>
      <c r="G21" s="16" t="n"/>
      <c r="H21" s="16" t="n"/>
      <c r="I21" s="16" t="n"/>
      <c r="J21" s="16" t="n"/>
      <c r="K21" s="24" t="n">
        <v>0.105537761777698</v>
      </c>
      <c r="L21" s="24" t="n">
        <v>0.09146723422234286</v>
      </c>
      <c r="M21" s="24" t="n">
        <v>0.08165159222456322</v>
      </c>
      <c r="N21" s="24" t="n">
        <v>0.07475748169876888</v>
      </c>
      <c r="O21" s="24" t="n">
        <v>0.0698842286605936</v>
      </c>
      <c r="P21" s="16" t="n"/>
    </row>
    <row r="23" ht="18" customHeight="1">
      <c r="A23" s="27" t="n"/>
      <c r="B23" s="28" t="inlineStr">
        <is>
          <t>WORST CASE — Financial Summary</t>
        </is>
      </c>
      <c r="M23" s="27" t="n"/>
      <c r="N23" s="27" t="n"/>
      <c r="O23" s="27" t="n"/>
      <c r="P23" s="27" t="n"/>
    </row>
    <row r="24" ht="14" customHeight="1">
      <c r="A24" s="13" t="n"/>
      <c r="B24" s="13" t="n"/>
      <c r="C24" s="14" t="inlineStr"/>
      <c r="D24" s="13" t="n"/>
      <c r="E24" s="13" t="n"/>
      <c r="F24" s="13" t="n"/>
      <c r="G24" s="13" t="n"/>
      <c r="H24" s="13" t="n"/>
      <c r="I24" s="13" t="n"/>
      <c r="J24" s="13" t="n"/>
      <c r="K24" s="15" t="inlineStr">
        <is>
          <t>2026P</t>
        </is>
      </c>
      <c r="L24" s="15" t="inlineStr">
        <is>
          <t>2027P</t>
        </is>
      </c>
      <c r="M24" s="15" t="inlineStr">
        <is>
          <t>2028P</t>
        </is>
      </c>
      <c r="N24" s="15" t="inlineStr">
        <is>
          <t>2029P</t>
        </is>
      </c>
      <c r="O24" s="15" t="inlineStr">
        <is>
          <t>2030P</t>
        </is>
      </c>
      <c r="P24" s="13" t="n"/>
    </row>
    <row r="25" ht="5" customHeight="1"/>
    <row r="26" ht="14" customHeight="1">
      <c r="A26" s="16" t="n"/>
      <c r="B26" s="16" t="n"/>
      <c r="C26" s="17" t="inlineStr">
        <is>
          <t>Total Income (NII + Non-Interest)</t>
        </is>
      </c>
      <c r="D26" s="16" t="n"/>
      <c r="E26" s="16" t="n"/>
      <c r="F26" s="18" t="inlineStr">
        <is>
          <t>(KES MM)</t>
        </is>
      </c>
      <c r="G26" s="16" t="n"/>
      <c r="H26" s="16" t="n"/>
      <c r="I26" s="16" t="n"/>
      <c r="J26" s="16" t="n"/>
      <c r="K26" s="19" t="n">
        <v>21216.061911868</v>
      </c>
      <c r="L26" s="19" t="n">
        <v>22111.40097088221</v>
      </c>
      <c r="M26" s="19" t="n">
        <v>22982.15929372682</v>
      </c>
      <c r="N26" s="19" t="n">
        <v>23812.16054265367</v>
      </c>
      <c r="O26" s="19" t="n">
        <v>24581.65119485715</v>
      </c>
      <c r="P26" s="16" t="n"/>
    </row>
    <row r="27" ht="14" customHeight="1">
      <c r="A27" s="1" t="n"/>
      <c r="B27" s="1" t="n"/>
      <c r="C27" s="5" t="inlineStr">
        <is>
          <t>Net Interest Income</t>
        </is>
      </c>
      <c r="D27" s="1" t="n"/>
      <c r="E27" s="1" t="n"/>
      <c r="F27" s="20" t="inlineStr">
        <is>
          <t>(KES MM)</t>
        </is>
      </c>
      <c r="G27" s="1" t="n"/>
      <c r="H27" s="1" t="n"/>
      <c r="I27" s="1" t="n"/>
      <c r="J27" s="1" t="n"/>
      <c r="K27" s="21" t="n">
        <v>16730.62671655</v>
      </c>
      <c r="L27" s="21" t="n">
        <v>16916.7014912279</v>
      </c>
      <c r="M27" s="21" t="n">
        <v>16965.394193451</v>
      </c>
      <c r="N27" s="21" t="n">
        <v>16842.49434381292</v>
      </c>
      <c r="O27" s="21" t="n">
        <v>16507.31731968404</v>
      </c>
      <c r="P27" s="1" t="n"/>
    </row>
    <row r="28" ht="14" customHeight="1">
      <c r="A28" s="16" t="n"/>
      <c r="B28" s="16" t="n"/>
      <c r="C28" s="17" t="inlineStr">
        <is>
          <t>Net Profit After Tax</t>
        </is>
      </c>
      <c r="D28" s="16" t="n"/>
      <c r="E28" s="16" t="n"/>
      <c r="F28" s="18" t="inlineStr">
        <is>
          <t>(KES MM)</t>
        </is>
      </c>
      <c r="G28" s="16" t="n"/>
      <c r="H28" s="16" t="n"/>
      <c r="I28" s="16" t="n"/>
      <c r="J28" s="16" t="n"/>
      <c r="K28" s="19" t="n">
        <v>6351.006540084517</v>
      </c>
      <c r="L28" s="19" t="n">
        <v>6218.455163644541</v>
      </c>
      <c r="M28" s="19" t="n">
        <v>5797.94252768053</v>
      </c>
      <c r="N28" s="19" t="n">
        <v>5292.456451819832</v>
      </c>
      <c r="O28" s="19" t="n">
        <v>4669.812246185262</v>
      </c>
      <c r="P28" s="16" t="n"/>
    </row>
    <row r="29" ht="14" customHeight="1">
      <c r="A29" s="1" t="n"/>
      <c r="B29" s="1" t="n"/>
      <c r="C29" s="5" t="inlineStr">
        <is>
          <t>Total Capital Ratio</t>
        </is>
      </c>
      <c r="D29" s="1" t="n"/>
      <c r="E29" s="1" t="n"/>
      <c r="F29" s="1" t="n"/>
      <c r="G29" s="1" t="n"/>
      <c r="H29" s="1" t="n"/>
      <c r="I29" s="1" t="n"/>
      <c r="J29" s="1" t="n"/>
      <c r="K29" s="22" t="n">
        <v>0.2011341554835117</v>
      </c>
      <c r="L29" s="22" t="n">
        <v>0.2065441994825764</v>
      </c>
      <c r="M29" s="22" t="n">
        <v>0.2086883691851228</v>
      </c>
      <c r="N29" s="22" t="n">
        <v>0.207884531758009</v>
      </c>
      <c r="O29" s="22" t="n">
        <v>0.2043668201875172</v>
      </c>
      <c r="P29" s="1" t="n"/>
    </row>
    <row r="30" ht="14" customHeight="1">
      <c r="A30" s="16" t="n"/>
      <c r="B30" s="16" t="n"/>
      <c r="C30" s="23" t="inlineStr">
        <is>
          <t>NPL Ratio</t>
        </is>
      </c>
      <c r="D30" s="16" t="n"/>
      <c r="E30" s="16" t="n"/>
      <c r="F30" s="16" t="n"/>
      <c r="G30" s="16" t="n"/>
      <c r="H30" s="16" t="n"/>
      <c r="I30" s="16" t="n"/>
      <c r="J30" s="16" t="n"/>
      <c r="K30" s="24" t="n">
        <v>0.1111377104891518</v>
      </c>
      <c r="L30" s="24" t="n">
        <v>0.1014453163111999</v>
      </c>
      <c r="M30" s="24" t="n">
        <v>0.0950602914580445</v>
      </c>
      <c r="N30" s="24" t="n">
        <v>0.09085526061665496</v>
      </c>
      <c r="O30" s="24" t="n">
        <v>0.08808807062638219</v>
      </c>
      <c r="P30" s="16" t="n"/>
    </row>
    <row r="32" ht="15" customHeight="1">
      <c r="A32" s="13" t="n"/>
      <c r="B32" s="13" t="n"/>
      <c r="C32" s="29" t="inlineStr">
        <is>
          <t>IMPLIED VALUE PER SHARE BY SCENARIO (KES per share)</t>
        </is>
      </c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  <row r="33">
      <c r="H33" s="15" t="inlineStr">
        <is>
          <t>Base</t>
        </is>
      </c>
      <c r="I33" s="15" t="inlineStr">
        <is>
          <t>Best</t>
        </is>
      </c>
      <c r="J33" s="15" t="inlineStr">
        <is>
          <t>Worst</t>
        </is>
      </c>
    </row>
    <row r="34">
      <c r="C34" s="30" t="inlineStr">
        <is>
          <t>Dividend Discount Model (DDM)</t>
        </is>
      </c>
      <c r="H34" s="31" t="n">
        <v>7.723814776603902</v>
      </c>
      <c r="I34" s="31" t="n">
        <v>9.57706406182019</v>
      </c>
      <c r="J34" s="31" t="n">
        <v>5.160060551548762</v>
      </c>
    </row>
    <row r="35">
      <c r="C35" s="30" t="inlineStr">
        <is>
          <t>Residual Income / Excess Return</t>
        </is>
      </c>
      <c r="H35" s="31" t="n">
        <v>11.98774127784946</v>
      </c>
      <c r="I35" s="31" t="n">
        <v>17.82558725861341</v>
      </c>
      <c r="J35" s="31" t="n">
        <v>3.983977985498895</v>
      </c>
    </row>
    <row r="36">
      <c r="C36" s="30" t="inlineStr">
        <is>
          <t>P/B-ROE Regression (relative)</t>
        </is>
      </c>
      <c r="H36" s="31" t="n">
        <v>33.68792242874724</v>
      </c>
      <c r="I36" s="31" t="n">
        <v>41.9027408584631</v>
      </c>
      <c r="J36" s="31" t="n">
        <v>22.84450902133986</v>
      </c>
    </row>
    <row r="37">
      <c r="C37" s="32" t="inlineStr">
        <is>
          <t>Blended Valuation</t>
        </is>
      </c>
      <c r="H37" s="33" t="n">
        <v>14.19581425740624</v>
      </c>
      <c r="I37" s="33" t="n">
        <v>18.51675638018674</v>
      </c>
      <c r="J37" s="33" t="n">
        <v>8.344125475692023</v>
      </c>
    </row>
    <row r="39" ht="15" customHeight="1">
      <c r="A39" s="13" t="n"/>
      <c r="B39" s="13" t="n"/>
      <c r="C39" s="29" t="inlineStr">
        <is>
          <t>RATIO DISCLOSURES — BASE CASE (live-linked to Model sheet)</t>
        </is>
      </c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</row>
    <row r="40" ht="14" customHeight="1">
      <c r="A40" s="13" t="n"/>
      <c r="B40" s="13" t="n"/>
      <c r="C40" s="14" t="inlineStr"/>
      <c r="D40" s="13" t="n"/>
      <c r="E40" s="13" t="n"/>
      <c r="F40" s="13" t="n"/>
      <c r="G40" s="13" t="n"/>
      <c r="H40" s="15" t="inlineStr">
        <is>
          <t>2023A</t>
        </is>
      </c>
      <c r="I40" s="15" t="inlineStr">
        <is>
          <t>2024A</t>
        </is>
      </c>
      <c r="J40" s="15" t="inlineStr">
        <is>
          <t>2025A</t>
        </is>
      </c>
      <c r="K40" s="15" t="inlineStr">
        <is>
          <t>2026P</t>
        </is>
      </c>
      <c r="L40" s="15" t="inlineStr">
        <is>
          <t>2027P</t>
        </is>
      </c>
      <c r="M40" s="15" t="inlineStr">
        <is>
          <t>2028P</t>
        </is>
      </c>
      <c r="N40" s="15" t="inlineStr">
        <is>
          <t>2029P</t>
        </is>
      </c>
      <c r="O40" s="15" t="inlineStr">
        <is>
          <t>2030P</t>
        </is>
      </c>
      <c r="P40" s="13" t="n"/>
    </row>
    <row r="41" ht="5" customHeight="1"/>
    <row r="42" ht="15" customHeight="1">
      <c r="A42" s="13" t="n"/>
      <c r="B42" s="13" t="n"/>
      <c r="C42" s="29" t="inlineStr">
        <is>
          <t>Profitability (CAMELS: Earnings)</t>
        </is>
      </c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</row>
    <row r="43" ht="14" customHeight="1">
      <c r="A43" s="16" t="n"/>
      <c r="B43" s="16" t="n"/>
      <c r="C43" s="23" t="inlineStr">
        <is>
          <t>Return on Equity (ROE)</t>
        </is>
      </c>
      <c r="D43" s="16" t="n"/>
      <c r="E43" s="16" t="n"/>
      <c r="F43" s="16" t="n"/>
      <c r="G43" s="16" t="n"/>
      <c r="H43" s="16" t="n"/>
      <c r="I43" s="24">
        <f>IFERROR('Model'!I140/(('Model'!H206+'Model'!I206)/2),0)</f>
        <v/>
      </c>
      <c r="J43" s="24">
        <f>IFERROR('Model'!J140/(('Model'!I206+'Model'!J206)/2),0)</f>
        <v/>
      </c>
      <c r="K43" s="24">
        <f>IFERROR('Model'!K140/(('Model'!J206+'Model'!K206)/2),0)</f>
        <v/>
      </c>
      <c r="L43" s="24">
        <f>IFERROR('Model'!L140/(('Model'!K206+'Model'!L206)/2),0)</f>
        <v/>
      </c>
      <c r="M43" s="24">
        <f>IFERROR('Model'!M140/(('Model'!L206+'Model'!M206)/2),0)</f>
        <v/>
      </c>
      <c r="N43" s="24">
        <f>IFERROR('Model'!N140/(('Model'!M206+'Model'!N206)/2),0)</f>
        <v/>
      </c>
      <c r="O43" s="24">
        <f>IFERROR('Model'!O140/(('Model'!N206+'Model'!O206)/2),0)</f>
        <v/>
      </c>
      <c r="P43" s="16" t="n"/>
    </row>
    <row r="44" ht="14" customHeight="1">
      <c r="A44" s="1" t="n"/>
      <c r="B44" s="1" t="n"/>
      <c r="C44" s="5" t="inlineStr">
        <is>
          <t>Net Interest Margin (proxy: NII / Total Deposits)</t>
        </is>
      </c>
      <c r="D44" s="1" t="n"/>
      <c r="E44" s="1" t="n"/>
      <c r="F44" s="1" t="n"/>
      <c r="G44" s="1" t="n"/>
      <c r="H44" s="22">
        <f>IFERROR('Model'!H124/'Model'!H118,0)</f>
        <v/>
      </c>
      <c r="I44" s="22">
        <f>IFERROR('Model'!I124/'Model'!I118,0)</f>
        <v/>
      </c>
      <c r="J44" s="22">
        <f>IFERROR('Model'!J124/'Model'!J118,0)</f>
        <v/>
      </c>
      <c r="K44" s="22">
        <f>IFERROR('Model'!K124/'Model'!K118,0)</f>
        <v/>
      </c>
      <c r="L44" s="22">
        <f>IFERROR('Model'!L124/'Model'!L118,0)</f>
        <v/>
      </c>
      <c r="M44" s="22">
        <f>IFERROR('Model'!M124/'Model'!M118,0)</f>
        <v/>
      </c>
      <c r="N44" s="22">
        <f>IFERROR('Model'!N124/'Model'!N118,0)</f>
        <v/>
      </c>
      <c r="O44" s="22">
        <f>IFERROR('Model'!O124/'Model'!O118,0)</f>
        <v/>
      </c>
      <c r="P44" s="1" t="n"/>
    </row>
    <row r="45" ht="14" customHeight="1">
      <c r="A45" s="16" t="n"/>
      <c r="B45" s="16" t="n"/>
      <c r="C45" s="23" t="inlineStr">
        <is>
          <t>Cost-to-Income Ratio</t>
        </is>
      </c>
      <c r="D45" s="16" t="n"/>
      <c r="E45" s="16" t="n"/>
      <c r="F45" s="16" t="n"/>
      <c r="G45" s="16" t="n"/>
      <c r="H45" s="24">
        <f>IFERROR('Model'!H136/('Model'!H124+'Model'!H129),0)</f>
        <v/>
      </c>
      <c r="I45" s="24">
        <f>IFERROR('Model'!I136/('Model'!I124+'Model'!I129),0)</f>
        <v/>
      </c>
      <c r="J45" s="24">
        <f>IFERROR('Model'!J136/('Model'!J124+'Model'!J129),0)</f>
        <v/>
      </c>
      <c r="K45" s="24">
        <f>IFERROR('Model'!K136/('Model'!K124+'Model'!K129),0)</f>
        <v/>
      </c>
      <c r="L45" s="24">
        <f>IFERROR('Model'!L136/('Model'!L124+'Model'!L129),0)</f>
        <v/>
      </c>
      <c r="M45" s="24">
        <f>IFERROR('Model'!M136/('Model'!M124+'Model'!M129),0)</f>
        <v/>
      </c>
      <c r="N45" s="24">
        <f>IFERROR('Model'!N136/('Model'!N124+'Model'!N129),0)</f>
        <v/>
      </c>
      <c r="O45" s="24">
        <f>IFERROR('Model'!O136/('Model'!O124+'Model'!O129),0)</f>
        <v/>
      </c>
      <c r="P45" s="16" t="n"/>
    </row>
    <row r="47" ht="15" customHeight="1">
      <c r="A47" s="13" t="n"/>
      <c r="B47" s="13" t="n"/>
      <c r="C47" s="29" t="inlineStr">
        <is>
          <t>Capital Adequacy (CAMELS: Capital)</t>
        </is>
      </c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</row>
    <row r="48" ht="14" customHeight="1">
      <c r="A48" s="16" t="n"/>
      <c r="B48" s="16" t="n"/>
      <c r="C48" s="23" t="inlineStr">
        <is>
          <t>Core Capital / RWA</t>
        </is>
      </c>
      <c r="D48" s="16" t="n"/>
      <c r="E48" s="16" t="n"/>
      <c r="F48" s="16" t="n"/>
      <c r="G48" s="16" t="n"/>
      <c r="H48" s="24">
        <f>'Model'!H233</f>
        <v/>
      </c>
      <c r="I48" s="24">
        <f>'Model'!I233</f>
        <v/>
      </c>
      <c r="J48" s="24">
        <f>'Model'!J233</f>
        <v/>
      </c>
      <c r="K48" s="24">
        <f>'Model'!K233</f>
        <v/>
      </c>
      <c r="L48" s="24">
        <f>'Model'!L233</f>
        <v/>
      </c>
      <c r="M48" s="24">
        <f>'Model'!M233</f>
        <v/>
      </c>
      <c r="N48" s="24">
        <f>'Model'!N233</f>
        <v/>
      </c>
      <c r="O48" s="24">
        <f>'Model'!O233</f>
        <v/>
      </c>
      <c r="P48" s="16" t="n"/>
    </row>
    <row r="49" ht="14" customHeight="1">
      <c r="A49" s="1" t="n"/>
      <c r="B49" s="1" t="n"/>
      <c r="C49" s="5" t="inlineStr">
        <is>
          <t>Total Capital / RWA</t>
        </is>
      </c>
      <c r="D49" s="1" t="n"/>
      <c r="E49" s="1" t="n"/>
      <c r="F49" s="1" t="n"/>
      <c r="G49" s="1" t="n"/>
      <c r="H49" s="22">
        <f>'Model'!H234</f>
        <v/>
      </c>
      <c r="I49" s="22">
        <f>'Model'!I234</f>
        <v/>
      </c>
      <c r="J49" s="22">
        <f>'Model'!J234</f>
        <v/>
      </c>
      <c r="K49" s="22">
        <f>'Model'!K234</f>
        <v/>
      </c>
      <c r="L49" s="22">
        <f>'Model'!L234</f>
        <v/>
      </c>
      <c r="M49" s="22">
        <f>'Model'!M234</f>
        <v/>
      </c>
      <c r="N49" s="22">
        <f>'Model'!N234</f>
        <v/>
      </c>
      <c r="O49" s="22">
        <f>'Model'!O234</f>
        <v/>
      </c>
      <c r="P49" s="1" t="n"/>
    </row>
    <row r="51" ht="15" customHeight="1">
      <c r="A51" s="13" t="n"/>
      <c r="B51" s="13" t="n"/>
      <c r="C51" s="29" t="inlineStr">
        <is>
          <t>Liquidity (CAMELS: Liquidity)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</row>
    <row r="52" ht="14" customHeight="1">
      <c r="A52" s="16" t="n"/>
      <c r="B52" s="16" t="n"/>
      <c r="C52" s="23" t="inlineStr">
        <is>
          <t>Liquidity Ratio</t>
        </is>
      </c>
      <c r="D52" s="16" t="n"/>
      <c r="E52" s="16" t="n"/>
      <c r="F52" s="16" t="n"/>
      <c r="G52" s="16" t="n"/>
      <c r="H52" s="24">
        <f>'Model'!H239</f>
        <v/>
      </c>
      <c r="I52" s="24">
        <f>'Model'!I239</f>
        <v/>
      </c>
      <c r="J52" s="24">
        <f>'Model'!J239</f>
        <v/>
      </c>
      <c r="K52" s="24">
        <f>'Model'!K239</f>
        <v/>
      </c>
      <c r="L52" s="24">
        <f>'Model'!L239</f>
        <v/>
      </c>
      <c r="M52" s="24">
        <f>'Model'!M239</f>
        <v/>
      </c>
      <c r="N52" s="24">
        <f>'Model'!N239</f>
        <v/>
      </c>
      <c r="O52" s="24">
        <f>'Model'!O239</f>
        <v/>
      </c>
      <c r="P52" s="16" t="n"/>
    </row>
    <row r="54" ht="15" customHeight="1">
      <c r="A54" s="13" t="n"/>
      <c r="B54" s="13" t="n"/>
      <c r="C54" s="29" t="inlineStr">
        <is>
          <t>Cash Flow Ratios</t>
        </is>
      </c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</row>
    <row r="55" ht="14" customHeight="1">
      <c r="A55" s="16" t="n"/>
      <c r="B55" s="16" t="n"/>
      <c r="C55" s="23" t="inlineStr">
        <is>
          <t>Operating Cash Flow / PAT</t>
        </is>
      </c>
      <c r="D55" s="16" t="n"/>
      <c r="E55" s="16" t="n"/>
      <c r="F55" s="16" t="n"/>
      <c r="G55" s="16" t="n"/>
      <c r="H55" s="24">
        <f>IFERROR('Model'!H171/'Model'!H140,0)</f>
        <v/>
      </c>
      <c r="I55" s="24">
        <f>IFERROR('Model'!I171/'Model'!I140,0)</f>
        <v/>
      </c>
      <c r="J55" s="24">
        <f>IFERROR('Model'!J171/'Model'!J140,0)</f>
        <v/>
      </c>
      <c r="K55" s="24">
        <f>IFERROR('Model'!K171/'Model'!K140,0)</f>
        <v/>
      </c>
      <c r="L55" s="24">
        <f>IFERROR('Model'!L171/'Model'!L140,0)</f>
        <v/>
      </c>
      <c r="M55" s="24">
        <f>IFERROR('Model'!M171/'Model'!M140,0)</f>
        <v/>
      </c>
      <c r="N55" s="24">
        <f>IFERROR('Model'!N171/'Model'!N140,0)</f>
        <v/>
      </c>
      <c r="O55" s="24">
        <f>IFERROR('Model'!O171/'Model'!O140,0)</f>
        <v/>
      </c>
      <c r="P55" s="16" t="n"/>
    </row>
    <row r="56" ht="14" customHeight="1">
      <c r="A56" s="1" t="n"/>
      <c r="B56" s="1" t="n"/>
      <c r="C56" s="5" t="inlineStr">
        <is>
          <t>Operating Cash Flow / Total Deposits</t>
        </is>
      </c>
      <c r="D56" s="1" t="n"/>
      <c r="E56" s="1" t="n"/>
      <c r="F56" s="1" t="n"/>
      <c r="G56" s="1" t="n"/>
      <c r="H56" s="22">
        <f>IFERROR('Model'!H171/'Model'!H118,0)</f>
        <v/>
      </c>
      <c r="I56" s="22">
        <f>IFERROR('Model'!I171/'Model'!I118,0)</f>
        <v/>
      </c>
      <c r="J56" s="22">
        <f>IFERROR('Model'!J171/'Model'!J118,0)</f>
        <v/>
      </c>
      <c r="K56" s="22">
        <f>IFERROR('Model'!K171/'Model'!K118,0)</f>
        <v/>
      </c>
      <c r="L56" s="22">
        <f>IFERROR('Model'!L171/'Model'!L118,0)</f>
        <v/>
      </c>
      <c r="M56" s="22">
        <f>IFERROR('Model'!M171/'Model'!M118,0)</f>
        <v/>
      </c>
      <c r="N56" s="22">
        <f>IFERROR('Model'!N171/'Model'!N118,0)</f>
        <v/>
      </c>
      <c r="O56" s="22">
        <f>IFERROR('Model'!O171/'Model'!O118,0)</f>
        <v/>
      </c>
      <c r="P56" s="1" t="n"/>
    </row>
    <row r="58" ht="15" customHeight="1">
      <c r="A58" s="13" t="n"/>
      <c r="B58" s="13" t="n"/>
      <c r="C58" s="29" t="inlineStr">
        <is>
          <t>KEY NET INCOME SENSITIVITIES (Base Case, one factor at a time)</t>
        </is>
      </c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</row>
    <row r="59">
      <c r="J59" s="34" t="inlineStr">
        <is>
          <t>Average-PAT % impact of shocking one driver in isolation, others held at Base — not the combined Best/Worst scenarios above. See BLUEPRINT.md / research_output.md for methodology, shock sizes, and which candidate factors were tested and excluded for not moving PAT by more than 10%.</t>
        </is>
      </c>
    </row>
    <row r="60">
      <c r="C60" s="29" t="inlineStr">
        <is>
          <t>Factor</t>
        </is>
      </c>
      <c r="G60" s="29" t="inlineStr">
        <is>
          <t>Category</t>
        </is>
      </c>
      <c r="J60" s="15" t="inlineStr">
        <is>
          <t>Downside</t>
        </is>
      </c>
      <c r="L60" s="15" t="inlineStr">
        <is>
          <t>Upside</t>
        </is>
      </c>
    </row>
    <row r="61">
      <c r="C61" s="35" t="inlineStr">
        <is>
          <t>Loan/balance-sheet growth</t>
        </is>
      </c>
      <c r="G61" s="34" t="inlineStr">
        <is>
          <t>Macro — credit demand cycle — Worst 0.70x / Best 1.20x growth multiplier</t>
        </is>
      </c>
      <c r="J61" s="36" t="n">
        <v>-0.195466931497656</v>
      </c>
      <c r="L61" s="37" t="n">
        <v>0.1402992073050251</v>
      </c>
    </row>
    <row r="62">
      <c r="C62" s="35" t="inlineStr">
        <is>
          <t>Asset yield (lending rate)</t>
        </is>
      </c>
      <c r="G62" s="34" t="inlineStr">
        <is>
          <t>Bank-specific — rate cycle / repricing — +/-100bp parallel shift on loan yields</t>
        </is>
      </c>
      <c r="J62" s="36" t="n">
        <v>-0.1497509156353538</v>
      </c>
      <c r="L62" s="37" t="n">
        <v>0.1497509156353536</v>
      </c>
    </row>
    <row r="63">
      <c r="C63" s="35" t="inlineStr">
        <is>
          <t>Cost of funds (deposit pricing)</t>
        </is>
      </c>
      <c r="G63" s="34" t="inlineStr">
        <is>
          <t>Macro — policy rate transmission — +/-100bp parallel shift on deposit cost</t>
        </is>
      </c>
      <c r="J63" s="36" t="n">
        <v>-0.2268300499778054</v>
      </c>
      <c r="L63" s="37" t="n">
        <v>0.2268300499778054</v>
      </c>
    </row>
  </sheetData>
  <mergeCells count="3">
    <mergeCell ref="B5:L5"/>
    <mergeCell ref="B14:L14"/>
    <mergeCell ref="B23:L23"/>
  </mergeCells>
  <printOptions horizontalCentered="1"/>
  <pageMargins left="0.75" right="0.75" top="1" bottom="1" header="0.5" footer="0.5"/>
  <pageSetup orientation="landscape" scale="95"/>
  <headerFooter>
    <oddHeader/>
    <oddFooter>&amp;LPage &amp;P of &amp;N&amp;C&amp;A&amp;R&amp;D&amp;T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2" customWidth="1" min="3" max="3"/>
    <col width="16" customWidth="1" min="4" max="4"/>
    <col width="4" customWidth="1" min="5" max="5"/>
    <col width="12" customWidth="1" min="6" max="6"/>
    <col width="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4" customWidth="1" min="16" max="16"/>
  </cols>
  <sheetData>
    <row r="1">
      <c r="C1" s="8" t="inlineStr">
        <is>
          <t>Family Bank Limited</t>
        </is>
      </c>
      <c r="O1" s="9">
        <f>HYPERLINK("#'Scenarios'!D5","Currently running: "&amp;UPPER(CHOOSE('Scenarios'!$D$5,"Base","Best","Worst"))&amp;" CASE")</f>
        <v/>
      </c>
    </row>
    <row r="3">
      <c r="C3" s="10" t="inlineStr">
        <is>
          <t>Inputs and Assumptions</t>
        </is>
      </c>
    </row>
    <row r="5" ht="15" customHeight="1">
      <c r="A5" s="13" t="n"/>
      <c r="B5" s="13" t="n"/>
      <c r="C5" s="29" t="inlineStr">
        <is>
          <t>Data Provenance Legend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>
      <c r="C6" s="38" t="inlineStr">
        <is>
          <t>■</t>
        </is>
      </c>
      <c r="D6" s="34" t="inlineStr">
        <is>
          <t>Disclosed fact (company filing)</t>
        </is>
      </c>
    </row>
    <row r="7">
      <c r="C7" s="35" t="inlineStr">
        <is>
          <t>■</t>
        </is>
      </c>
      <c r="D7" s="34" t="inlineStr">
        <is>
          <t>Internal formula</t>
        </is>
      </c>
    </row>
    <row r="8">
      <c r="C8" s="39" t="inlineStr">
        <is>
          <t>■</t>
        </is>
      </c>
      <c r="D8" s="34" t="inlineStr">
        <is>
          <t>Cross-sheet reference</t>
        </is>
      </c>
    </row>
    <row r="9">
      <c r="C9" s="40" t="inlineStr">
        <is>
          <t>■</t>
        </is>
      </c>
      <c r="D9" s="34" t="inlineStr">
        <is>
          <t>Modeled proxy / benchmark / macro forecast — not directly disclosed</t>
        </is>
      </c>
    </row>
    <row r="11" ht="15" customHeight="1">
      <c r="A11" s="13" t="n"/>
      <c r="B11" s="13" t="n"/>
      <c r="C11" s="29" t="inlineStr">
        <is>
          <t>GENERAL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C12" s="5" t="inlineStr">
        <is>
          <t>First forecast year</t>
        </is>
      </c>
      <c r="H12" s="41" t="n">
        <v>2026</v>
      </c>
    </row>
    <row r="13">
      <c r="C13" s="5" t="inlineStr">
        <is>
          <t>Tax rate</t>
        </is>
      </c>
      <c r="H13" s="42" t="n">
        <v>0.3</v>
      </c>
    </row>
    <row r="14">
      <c r="C14" s="5" t="inlineStr">
        <is>
          <t>Dividend payout ratio</t>
        </is>
      </c>
      <c r="H14" s="43" t="n">
        <v>0.25</v>
      </c>
    </row>
    <row r="16" ht="15" customHeight="1">
      <c r="A16" s="13" t="n"/>
      <c r="B16" s="13" t="n"/>
      <c r="C16" s="29" t="inlineStr">
        <is>
          <t>SCENARIO CONTROL</t>
        </is>
      </c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>
      <c r="C17" s="5" t="inlineStr">
        <is>
          <t>Growth multiplier — Best</t>
        </is>
      </c>
      <c r="H17" s="44" t="n">
        <v>1.2</v>
      </c>
      <c r="J17" s="34" t="inlineStr">
        <is>
          <t>Switch lives on the Scenarios sheet ($D$5) — every row below tagged '(ACTIVE)' follows it live.</t>
        </is>
      </c>
    </row>
    <row r="18">
      <c r="C18" s="5" t="inlineStr">
        <is>
          <t>Growth multiplier — Worst</t>
        </is>
      </c>
      <c r="H18" s="44" t="n">
        <v>0.7</v>
      </c>
    </row>
    <row r="19">
      <c r="C19" s="5" t="inlineStr">
        <is>
          <t>Loss-rate multiplier — Best</t>
        </is>
      </c>
      <c r="H19" s="44" t="n">
        <v>0.8</v>
      </c>
    </row>
    <row r="20">
      <c r="C20" s="5" t="inlineStr">
        <is>
          <t>Loss-rate multiplier — Worst</t>
        </is>
      </c>
      <c r="H20" s="44" t="n">
        <v>1.4</v>
      </c>
    </row>
    <row r="21">
      <c r="C21" s="5" t="inlineStr">
        <is>
          <t>Opex-escalation multiplier — Best</t>
        </is>
      </c>
      <c r="H21" s="44" t="n">
        <v>0.9</v>
      </c>
    </row>
    <row r="22">
      <c r="C22" s="5" t="inlineStr">
        <is>
          <t>Opex-escalation multiplier — Worst</t>
        </is>
      </c>
      <c r="H22" s="44" t="n">
        <v>1.15</v>
      </c>
    </row>
    <row r="24" ht="15" customHeight="1">
      <c r="A24" s="13" t="n"/>
      <c r="B24" s="13" t="n"/>
      <c r="C24" s="29" t="inlineStr">
        <is>
          <t>LOAN BOOK — BY PRODUCT (FY2025 opening; growth/rates scenario-switched)</t>
        </is>
      </c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</row>
    <row r="25" ht="5" customHeight="1"/>
    <row r="26">
      <c r="H26" s="15" t="inlineStr">
        <is>
          <t>Term Loans</t>
        </is>
      </c>
      <c r="I26" s="15" t="inlineStr">
        <is>
          <t>Mortgage</t>
        </is>
      </c>
      <c r="J26" s="15" t="inlineStr">
        <is>
          <t>Overdraft &amp; Credit Cards</t>
        </is>
      </c>
    </row>
    <row r="27">
      <c r="C27" s="5" t="inlineStr">
        <is>
          <t>Opening gross — Stage 1</t>
        </is>
      </c>
      <c r="H27" s="45" t="n">
        <v>74732.268</v>
      </c>
      <c r="I27" s="45" t="n">
        <v>12946.847</v>
      </c>
      <c r="J27" s="45" t="n">
        <v>1506.935</v>
      </c>
    </row>
    <row r="28">
      <c r="C28" s="5" t="inlineStr">
        <is>
          <t>Opening gross — Stage 2</t>
        </is>
      </c>
      <c r="H28" s="45" t="n">
        <v>8355.106</v>
      </c>
      <c r="I28" s="45" t="n">
        <v>1580.111</v>
      </c>
      <c r="J28" s="45" t="n">
        <v>461.631</v>
      </c>
    </row>
    <row r="29">
      <c r="C29" s="5" t="inlineStr">
        <is>
          <t>Opening gross — Stage 3</t>
        </is>
      </c>
      <c r="H29" s="45" t="n">
        <v>12303.29</v>
      </c>
      <c r="I29" s="45" t="n">
        <v>1395.34</v>
      </c>
      <c r="J29" s="45" t="n">
        <v>638.333</v>
      </c>
    </row>
    <row r="30">
      <c r="C30" s="32" t="inlineStr">
        <is>
          <t>Loss rate — Stage 1 (12m)</t>
        </is>
      </c>
    </row>
    <row r="32">
      <c r="H32" s="46">
        <f>CHOOSE('Scenarios'!$D$5,H33,H34,H35)</f>
        <v/>
      </c>
      <c r="I32" s="47">
        <f>CHOOSE('Scenarios'!$D$5,I33,I34,I35)</f>
        <v/>
      </c>
      <c r="J32" s="48">
        <f>CHOOSE('Scenarios'!$D$5,J33,J34,J35)</f>
        <v/>
      </c>
    </row>
    <row r="33">
      <c r="C33" s="49" t="inlineStr">
        <is>
          <t xml:space="preserve">    Base</t>
        </is>
      </c>
      <c r="H33" s="50" t="n">
        <v>0.01078</v>
      </c>
      <c r="I33" s="50" t="n">
        <v>0.001042</v>
      </c>
      <c r="J33" s="50" t="n">
        <v>0.003962</v>
      </c>
    </row>
    <row r="34">
      <c r="C34" s="49" t="inlineStr">
        <is>
          <t xml:space="preserve">    Best</t>
        </is>
      </c>
      <c r="H34" s="51">
        <f>H33*Assumptions!$H$19</f>
        <v/>
      </c>
      <c r="I34" s="51">
        <f>I33*Assumptions!$H$19</f>
        <v/>
      </c>
      <c r="J34" s="51">
        <f>J33*Assumptions!$H$19</f>
        <v/>
      </c>
    </row>
    <row r="35">
      <c r="C35" s="49" t="inlineStr">
        <is>
          <t xml:space="preserve">    Worst</t>
        </is>
      </c>
      <c r="H35" s="51">
        <f>H33*Assumptions!$H$20</f>
        <v/>
      </c>
      <c r="I35" s="51">
        <f>I33*Assumptions!$H$20</f>
        <v/>
      </c>
      <c r="J35" s="51">
        <f>J33*Assumptions!$H$20</f>
        <v/>
      </c>
    </row>
    <row r="36">
      <c r="C36" s="32" t="inlineStr">
        <is>
          <t>Loss rate — Stage 2 (lifetime)</t>
        </is>
      </c>
    </row>
    <row r="38">
      <c r="H38" s="46">
        <f>CHOOSE('Scenarios'!$D$5,H39,H40,H41)</f>
        <v/>
      </c>
      <c r="I38" s="47">
        <f>CHOOSE('Scenarios'!$D$5,I39,I40,I41)</f>
        <v/>
      </c>
      <c r="J38" s="48">
        <f>CHOOSE('Scenarios'!$D$5,J39,J40,J41)</f>
        <v/>
      </c>
    </row>
    <row r="39">
      <c r="C39" s="49" t="inlineStr">
        <is>
          <t xml:space="preserve">    Base</t>
        </is>
      </c>
      <c r="H39" s="50" t="n">
        <v>0.08044</v>
      </c>
      <c r="I39" s="50" t="n">
        <v>0.02806</v>
      </c>
      <c r="J39" s="50" t="n">
        <v>0.05966</v>
      </c>
    </row>
    <row r="40">
      <c r="C40" s="49" t="inlineStr">
        <is>
          <t xml:space="preserve">    Best</t>
        </is>
      </c>
      <c r="H40" s="51">
        <f>H39*Assumptions!$H$19</f>
        <v/>
      </c>
      <c r="I40" s="51">
        <f>I39*Assumptions!$H$19</f>
        <v/>
      </c>
      <c r="J40" s="51">
        <f>J39*Assumptions!$H$19</f>
        <v/>
      </c>
    </row>
    <row r="41">
      <c r="C41" s="49" t="inlineStr">
        <is>
          <t xml:space="preserve">    Worst</t>
        </is>
      </c>
      <c r="H41" s="51">
        <f>H39*Assumptions!$H$20</f>
        <v/>
      </c>
      <c r="I41" s="51">
        <f>I39*Assumptions!$H$20</f>
        <v/>
      </c>
      <c r="J41" s="51">
        <f>J39*Assumptions!$H$20</f>
        <v/>
      </c>
    </row>
    <row r="42">
      <c r="C42" s="32" t="inlineStr">
        <is>
          <t>Loss rate — Stage 3 (lifetime)</t>
        </is>
      </c>
    </row>
    <row r="44">
      <c r="H44" s="46">
        <f>CHOOSE('Scenarios'!$D$5,H45,H46,H47)</f>
        <v/>
      </c>
      <c r="I44" s="47">
        <f>CHOOSE('Scenarios'!$D$5,I45,I46,I47)</f>
        <v/>
      </c>
      <c r="J44" s="48">
        <f>CHOOSE('Scenarios'!$D$5,J45,J46,J47)</f>
        <v/>
      </c>
    </row>
    <row r="45">
      <c r="C45" s="49" t="inlineStr">
        <is>
          <t xml:space="preserve">    Base</t>
        </is>
      </c>
      <c r="H45" s="50" t="n">
        <v>0.48704</v>
      </c>
      <c r="I45" s="50" t="n">
        <v>0.14522</v>
      </c>
      <c r="J45" s="50" t="n">
        <v>0.40265</v>
      </c>
    </row>
    <row r="46">
      <c r="C46" s="49" t="inlineStr">
        <is>
          <t xml:space="preserve">    Best</t>
        </is>
      </c>
      <c r="H46" s="51">
        <f>H45*Assumptions!$H$19</f>
        <v/>
      </c>
      <c r="I46" s="51">
        <f>I45*Assumptions!$H$19</f>
        <v/>
      </c>
      <c r="J46" s="51">
        <f>J45*Assumptions!$H$19</f>
        <v/>
      </c>
    </row>
    <row r="47">
      <c r="C47" s="49" t="inlineStr">
        <is>
          <t xml:space="preserve">    Worst</t>
        </is>
      </c>
      <c r="H47" s="51">
        <f>H45*Assumptions!$H$20</f>
        <v/>
      </c>
      <c r="I47" s="51">
        <f>I45*Assumptions!$H$20</f>
        <v/>
      </c>
      <c r="J47" s="51">
        <f>J45*Assumptions!$H$20</f>
        <v/>
      </c>
    </row>
    <row r="48">
      <c r="C48" s="32" t="inlineStr">
        <is>
          <t>Gross loan growth p.a.</t>
        </is>
      </c>
    </row>
    <row r="50">
      <c r="H50" s="52">
        <f>CHOOSE('Scenarios'!$D$5,H51,H52,H53)</f>
        <v/>
      </c>
      <c r="I50" s="53">
        <f>CHOOSE('Scenarios'!$D$5,I51,I52,I53)</f>
        <v/>
      </c>
      <c r="J50" s="54">
        <f>CHOOSE('Scenarios'!$D$5,J51,J52,J53)</f>
        <v/>
      </c>
    </row>
    <row r="51">
      <c r="C51" s="49" t="inlineStr">
        <is>
          <t xml:space="preserve">    Base</t>
        </is>
      </c>
      <c r="H51" s="43" t="n">
        <v>0.12</v>
      </c>
      <c r="I51" s="43" t="n">
        <v>0.08</v>
      </c>
      <c r="J51" s="43" t="n">
        <v>0.13</v>
      </c>
    </row>
    <row r="52">
      <c r="C52" s="49" t="inlineStr">
        <is>
          <t xml:space="preserve">    Best</t>
        </is>
      </c>
      <c r="H52" s="55">
        <f>H51*Assumptions!$H$17</f>
        <v/>
      </c>
      <c r="I52" s="55">
        <f>I51*Assumptions!$H$17</f>
        <v/>
      </c>
      <c r="J52" s="55">
        <f>J51*Assumptions!$H$17</f>
        <v/>
      </c>
    </row>
    <row r="53">
      <c r="C53" s="49" t="inlineStr">
        <is>
          <t xml:space="preserve">    Worst</t>
        </is>
      </c>
      <c r="H53" s="55">
        <f>H51*Assumptions!$H$18</f>
        <v/>
      </c>
      <c r="I53" s="55">
        <f>I51*Assumptions!$H$18</f>
        <v/>
      </c>
      <c r="J53" s="55">
        <f>J51*Assumptions!$H$18</f>
        <v/>
      </c>
    </row>
    <row r="54">
      <c r="C54" s="5" t="inlineStr">
        <is>
          <t>Yield on loans</t>
        </is>
      </c>
      <c r="H54" s="56" t="n">
        <v>0.145</v>
      </c>
      <c r="I54" s="56" t="n">
        <v>0.125</v>
      </c>
      <c r="J54" s="56" t="n">
        <v>0.17</v>
      </c>
    </row>
    <row r="55">
      <c r="C55" s="5" t="inlineStr">
        <is>
          <t>SICR rate (Stage 1→2)</t>
        </is>
      </c>
      <c r="H55" s="43" t="n">
        <v>0.05</v>
      </c>
      <c r="I55" s="43" t="n">
        <v>0.04</v>
      </c>
      <c r="J55" s="43" t="n">
        <v>0.06</v>
      </c>
    </row>
    <row r="56">
      <c r="C56" s="5" t="inlineStr">
        <is>
          <t>Cure rate (Stage 2→1)</t>
        </is>
      </c>
      <c r="H56" s="43" t="n">
        <v>0.1</v>
      </c>
      <c r="I56" s="43" t="n">
        <v>0.1</v>
      </c>
      <c r="J56" s="43" t="n">
        <v>0.1</v>
      </c>
    </row>
    <row r="57">
      <c r="C57" s="5" t="inlineStr">
        <is>
          <t>Default rate (Stage 2→3)</t>
        </is>
      </c>
      <c r="H57" s="43" t="n">
        <v>0.15</v>
      </c>
      <c r="I57" s="43" t="n">
        <v>0.1</v>
      </c>
      <c r="J57" s="43" t="n">
        <v>0.18</v>
      </c>
    </row>
    <row r="58">
      <c r="C58" s="5" t="inlineStr">
        <is>
          <t>Cure rate (Stage 3→2)</t>
        </is>
      </c>
      <c r="H58" s="43" t="n">
        <v>0.05</v>
      </c>
      <c r="I58" s="43" t="n">
        <v>0.08</v>
      </c>
      <c r="J58" s="43" t="n">
        <v>0.05</v>
      </c>
    </row>
    <row r="59">
      <c r="C59" s="5" t="inlineStr">
        <is>
          <t>Write-off rate (of Stage 3)</t>
        </is>
      </c>
      <c r="H59" s="43" t="n">
        <v>0.1</v>
      </c>
      <c r="I59" s="43" t="n">
        <v>0.05</v>
      </c>
      <c r="J59" s="43" t="n">
        <v>0.15</v>
      </c>
    </row>
    <row r="60">
      <c r="C60" s="5" t="inlineStr">
        <is>
          <t>Risk weight (RWA)</t>
        </is>
      </c>
      <c r="H60" s="57" t="n">
        <v>1</v>
      </c>
      <c r="I60" s="57" t="n">
        <v>0.5</v>
      </c>
      <c r="J60" s="57" t="n">
        <v>1</v>
      </c>
    </row>
    <row r="62">
      <c r="C62" s="32" t="inlineStr">
        <is>
          <t>Off-Balance-Sheet Exposure</t>
        </is>
      </c>
    </row>
    <row r="63">
      <c r="C63" s="5" t="inlineStr">
        <is>
          <t>Opening balance</t>
        </is>
      </c>
      <c r="H63" s="45" t="n">
        <v>3094.008</v>
      </c>
    </row>
    <row r="64">
      <c r="C64" s="5" t="inlineStr">
        <is>
          <t>Growth p.a.</t>
        </is>
      </c>
      <c r="H64" s="43" t="n">
        <v>0.1</v>
      </c>
    </row>
    <row r="65">
      <c r="C65" s="5" t="inlineStr">
        <is>
          <t>Credit conversion factor</t>
        </is>
      </c>
      <c r="H65" s="57" t="n">
        <v>0.2</v>
      </c>
    </row>
    <row r="66">
      <c r="C66" s="5" t="inlineStr">
        <is>
          <t>Risk weight</t>
        </is>
      </c>
      <c r="H66" s="57" t="n">
        <v>1</v>
      </c>
    </row>
    <row r="68" ht="15" customHeight="1">
      <c r="A68" s="13" t="n"/>
      <c r="B68" s="13" t="n"/>
      <c r="C68" s="29" t="inlineStr">
        <is>
          <t>FORWARD-LOOKING MACRO OVERLAY (IFRS 9)</t>
        </is>
      </c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</row>
    <row r="69">
      <c r="C69" s="5" t="inlineStr">
        <is>
          <t>Weight — Base</t>
        </is>
      </c>
      <c r="H69" s="57" t="n">
        <v>0.6</v>
      </c>
    </row>
    <row r="70">
      <c r="C70" s="5" t="inlineStr">
        <is>
          <t>Weight — Upside</t>
        </is>
      </c>
      <c r="H70" s="57" t="n">
        <v>0.2</v>
      </c>
    </row>
    <row r="71">
      <c r="C71" s="5" t="inlineStr">
        <is>
          <t>Weight — Downside</t>
        </is>
      </c>
      <c r="H71" s="57" t="n">
        <v>0.2</v>
      </c>
    </row>
    <row r="72">
      <c r="C72" s="5" t="inlineStr">
        <is>
          <t>Multiplier — Base</t>
        </is>
      </c>
      <c r="H72" s="44" t="n">
        <v>1</v>
      </c>
    </row>
    <row r="73">
      <c r="C73" s="5" t="inlineStr">
        <is>
          <t>Multiplier — Upside</t>
        </is>
      </c>
      <c r="H73" s="44" t="n">
        <v>0.85</v>
      </c>
    </row>
    <row r="74">
      <c r="C74" s="5" t="inlineStr">
        <is>
          <t>Multiplier — Downside</t>
        </is>
      </c>
      <c r="H74" s="44" t="n">
        <v>1.3</v>
      </c>
    </row>
    <row r="75">
      <c r="C75" s="35" t="inlineStr">
        <is>
          <t>Blended macro multiplier (probability-weighted)</t>
        </is>
      </c>
      <c r="H75" s="58">
        <f>H69*H72+H70*H73+H71*H74</f>
        <v/>
      </c>
    </row>
    <row r="77" ht="15" customHeight="1">
      <c r="A77" s="13" t="n"/>
      <c r="B77" s="13" t="n"/>
      <c r="C77" s="29" t="inlineStr">
        <is>
          <t>DEPOSITS / FUNDING (allocation modeled — only the aggregate is disclosed)</t>
        </is>
      </c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</row>
    <row r="78" ht="5" customHeight="1"/>
    <row r="79">
      <c r="H79" s="15" t="inlineStr">
        <is>
          <t>Demand / Current</t>
        </is>
      </c>
      <c r="I79" s="15" t="inlineStr">
        <is>
          <t>Savings</t>
        </is>
      </c>
      <c r="J79" s="15" t="inlineStr">
        <is>
          <t>Term / Fixed Deposits</t>
        </is>
      </c>
      <c r="K79" s="15" t="inlineStr">
        <is>
          <t>Wholesale / Interbank</t>
        </is>
      </c>
    </row>
    <row r="80">
      <c r="C80" s="5" t="inlineStr">
        <is>
          <t>Opening balance</t>
        </is>
      </c>
      <c r="H80" s="59" t="n">
        <v>45731.2</v>
      </c>
      <c r="I80" s="59" t="n">
        <v>38109.34</v>
      </c>
      <c r="J80" s="59" t="n">
        <v>53353.07</v>
      </c>
      <c r="K80" s="59" t="n">
        <v>15243.73</v>
      </c>
    </row>
    <row r="81">
      <c r="C81" s="32" t="inlineStr">
        <is>
          <t>Growth p.a.</t>
        </is>
      </c>
    </row>
    <row r="83">
      <c r="H83" s="52">
        <f>CHOOSE('Scenarios'!$D$5,H84,H85,H86)</f>
        <v/>
      </c>
      <c r="I83" s="53">
        <f>CHOOSE('Scenarios'!$D$5,I84,I85,I86)</f>
        <v/>
      </c>
      <c r="J83" s="53">
        <f>CHOOSE('Scenarios'!$D$5,J84,J85,J86)</f>
        <v/>
      </c>
      <c r="K83" s="54">
        <f>CHOOSE('Scenarios'!$D$5,K84,K85,K86)</f>
        <v/>
      </c>
    </row>
    <row r="84">
      <c r="C84" s="49" t="inlineStr">
        <is>
          <t xml:space="preserve">    Base</t>
        </is>
      </c>
      <c r="H84" s="43" t="n">
        <v>0.16</v>
      </c>
      <c r="I84" s="43" t="n">
        <v>0.15</v>
      </c>
      <c r="J84" s="43" t="n">
        <v>0.17</v>
      </c>
      <c r="K84" s="43" t="n">
        <v>0.13</v>
      </c>
    </row>
    <row r="85">
      <c r="C85" s="49" t="inlineStr">
        <is>
          <t xml:space="preserve">    Best</t>
        </is>
      </c>
      <c r="H85" s="55">
        <f>H84*Assumptions!$H$17</f>
        <v/>
      </c>
      <c r="I85" s="55">
        <f>I84*Assumptions!$H$17</f>
        <v/>
      </c>
      <c r="J85" s="55">
        <f>J84*Assumptions!$H$17</f>
        <v/>
      </c>
      <c r="K85" s="55">
        <f>K84*Assumptions!$H$17</f>
        <v/>
      </c>
    </row>
    <row r="86">
      <c r="C86" s="49" t="inlineStr">
        <is>
          <t xml:space="preserve">    Worst</t>
        </is>
      </c>
      <c r="H86" s="55">
        <f>H84*Assumptions!$H$18</f>
        <v/>
      </c>
      <c r="I86" s="55">
        <f>I84*Assumptions!$H$18</f>
        <v/>
      </c>
      <c r="J86" s="55">
        <f>J84*Assumptions!$H$18</f>
        <v/>
      </c>
      <c r="K86" s="55">
        <f>K84*Assumptions!$H$18</f>
        <v/>
      </c>
    </row>
    <row r="87">
      <c r="C87" s="5" t="inlineStr">
        <is>
          <t>Cost of funds</t>
        </is>
      </c>
      <c r="H87" s="56" t="n">
        <v>0.02</v>
      </c>
      <c r="I87" s="56" t="n">
        <v>0.04</v>
      </c>
      <c r="J87" s="56" t="n">
        <v>0.1</v>
      </c>
      <c r="K87" s="56" t="n">
        <v>0.11</v>
      </c>
    </row>
    <row r="89" ht="15" customHeight="1">
      <c r="A89" s="13" t="n"/>
      <c r="B89" s="13" t="n"/>
      <c r="C89" s="29" t="inlineStr">
        <is>
          <t>INVESTMENT SECURITIES</t>
        </is>
      </c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</row>
    <row r="90">
      <c r="C90" s="5" t="inlineStr">
        <is>
          <t>Opening balance</t>
        </is>
      </c>
      <c r="H90" s="45" t="n">
        <v>74014.473</v>
      </c>
    </row>
    <row r="91">
      <c r="C91" s="5" t="inlineStr">
        <is>
          <t>Growth p.a.</t>
        </is>
      </c>
      <c r="H91" s="43" t="n">
        <v>0.05</v>
      </c>
    </row>
    <row r="92">
      <c r="C92" s="5" t="inlineStr">
        <is>
          <t>Yield</t>
        </is>
      </c>
      <c r="H92" s="56" t="n">
        <v>0.13</v>
      </c>
    </row>
    <row r="94" ht="15" customHeight="1">
      <c r="A94" s="13" t="n"/>
      <c r="B94" s="13" t="n"/>
      <c r="C94" s="29" t="inlineStr">
        <is>
          <t>NON-INTEREST INCOME</t>
        </is>
      </c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</row>
    <row r="95">
      <c r="C95" s="5" t="inlineStr">
        <is>
          <t>Fee/commission income (% of deposits)</t>
        </is>
      </c>
      <c r="H95" s="56" t="n">
        <v>0.02541</v>
      </c>
    </row>
    <row r="97" ht="15" customHeight="1">
      <c r="A97" s="13" t="n"/>
      <c r="B97" s="13" t="n"/>
      <c r="C97" s="29" t="inlineStr">
        <is>
          <t>OPERATING EXPENSES</t>
        </is>
      </c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</row>
    <row r="98">
      <c r="C98" s="5" t="inlineStr">
        <is>
          <t>Staff Costs — Year 1</t>
        </is>
      </c>
      <c r="H98" s="59" t="n">
        <v>6438.2</v>
      </c>
    </row>
    <row r="99">
      <c r="C99" s="32" t="inlineStr">
        <is>
          <t>Staff Costs — escalation p.a.</t>
        </is>
      </c>
    </row>
    <row r="101">
      <c r="H101" s="60">
        <f>CHOOSE('Scenarios'!$D$5,H102,H103,H104)</f>
        <v/>
      </c>
    </row>
    <row r="102">
      <c r="C102" s="49" t="inlineStr">
        <is>
          <t xml:space="preserve">    Base</t>
        </is>
      </c>
      <c r="H102" s="43" t="n">
        <v>0.09</v>
      </c>
    </row>
    <row r="103">
      <c r="C103" s="49" t="inlineStr">
        <is>
          <t xml:space="preserve">    Best</t>
        </is>
      </c>
      <c r="H103" s="55">
        <f>H102*Assumptions!$H$21</f>
        <v/>
      </c>
    </row>
    <row r="104">
      <c r="C104" s="49" t="inlineStr">
        <is>
          <t xml:space="preserve">    Worst</t>
        </is>
      </c>
      <c r="H104" s="55">
        <f>H102*Assumptions!$H$22</f>
        <v/>
      </c>
    </row>
    <row r="105">
      <c r="C105" s="5" t="inlineStr">
        <is>
          <t>Premises &amp; Branch Network — Year 1</t>
        </is>
      </c>
      <c r="H105" s="59" t="n">
        <v>1639.7</v>
      </c>
    </row>
    <row r="106">
      <c r="C106" s="32" t="inlineStr">
        <is>
          <t>Premises &amp; Branch Network — escalation p.a.</t>
        </is>
      </c>
    </row>
    <row r="108">
      <c r="H108" s="60">
        <f>CHOOSE('Scenarios'!$D$5,H109,H110,H111)</f>
        <v/>
      </c>
    </row>
    <row r="109">
      <c r="C109" s="49" t="inlineStr">
        <is>
          <t xml:space="preserve">    Base</t>
        </is>
      </c>
      <c r="H109" s="43" t="n">
        <v>0.06</v>
      </c>
    </row>
    <row r="110">
      <c r="C110" s="49" t="inlineStr">
        <is>
          <t xml:space="preserve">    Best</t>
        </is>
      </c>
      <c r="H110" s="55">
        <f>H109*Assumptions!$H$21</f>
        <v/>
      </c>
    </row>
    <row r="111">
      <c r="C111" s="49" t="inlineStr">
        <is>
          <t xml:space="preserve">    Worst</t>
        </is>
      </c>
      <c r="H111" s="55">
        <f>H109*Assumptions!$H$22</f>
        <v/>
      </c>
    </row>
    <row r="112">
      <c r="C112" s="5" t="inlineStr">
        <is>
          <t>Technology &amp; Digital — Year 1</t>
        </is>
      </c>
      <c r="H112" s="59" t="n">
        <v>1392.5</v>
      </c>
    </row>
    <row r="113">
      <c r="C113" s="32" t="inlineStr">
        <is>
          <t>Technology &amp; Digital — escalation p.a.</t>
        </is>
      </c>
    </row>
    <row r="115">
      <c r="H115" s="60">
        <f>CHOOSE('Scenarios'!$D$5,H116,H117,H118)</f>
        <v/>
      </c>
    </row>
    <row r="116">
      <c r="C116" s="49" t="inlineStr">
        <is>
          <t xml:space="preserve">    Base</t>
        </is>
      </c>
      <c r="H116" s="43" t="n">
        <v>0.1</v>
      </c>
    </row>
    <row r="117">
      <c r="C117" s="49" t="inlineStr">
        <is>
          <t xml:space="preserve">    Best</t>
        </is>
      </c>
      <c r="H117" s="55">
        <f>H116*Assumptions!$H$21</f>
        <v/>
      </c>
    </row>
    <row r="118">
      <c r="C118" s="49" t="inlineStr">
        <is>
          <t xml:space="preserve">    Worst</t>
        </is>
      </c>
      <c r="H118" s="55">
        <f>H116*Assumptions!$H$22</f>
        <v/>
      </c>
    </row>
    <row r="119">
      <c r="C119" s="5" t="inlineStr">
        <is>
          <t>Other Operating Expenses — Year 1</t>
        </is>
      </c>
      <c r="H119" s="59" t="n">
        <v>2406.9</v>
      </c>
    </row>
    <row r="120">
      <c r="C120" s="32" t="inlineStr">
        <is>
          <t>Other Operating Expenses — escalation p.a.</t>
        </is>
      </c>
    </row>
    <row r="122">
      <c r="H122" s="60">
        <f>CHOOSE('Scenarios'!$D$5,H123,H124,H125)</f>
        <v/>
      </c>
    </row>
    <row r="123">
      <c r="C123" s="49" t="inlineStr">
        <is>
          <t xml:space="preserve">    Base</t>
        </is>
      </c>
      <c r="H123" s="43" t="n">
        <v>0.07000000000000001</v>
      </c>
    </row>
    <row r="124">
      <c r="C124" s="49" t="inlineStr">
        <is>
          <t xml:space="preserve">    Best</t>
        </is>
      </c>
      <c r="H124" s="55">
        <f>H123*Assumptions!$H$21</f>
        <v/>
      </c>
    </row>
    <row r="125">
      <c r="C125" s="49" t="inlineStr">
        <is>
          <t xml:space="preserve">    Worst</t>
        </is>
      </c>
      <c r="H125" s="55">
        <f>H123*Assumptions!$H$22</f>
        <v/>
      </c>
    </row>
    <row r="127" ht="15" customHeight="1">
      <c r="A127" s="13" t="n"/>
      <c r="B127" s="13" t="n"/>
      <c r="C127" s="29" t="inlineStr">
        <is>
          <t>CAPITAL</t>
        </is>
      </c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</row>
    <row r="128">
      <c r="C128" s="5" t="inlineStr">
        <is>
          <t>Opening Tier 1 capital (accounting equity, Balance Sheet anchor)</t>
        </is>
      </c>
      <c r="H128" s="59" t="n">
        <v>32107.51</v>
      </c>
    </row>
    <row r="129">
      <c r="C129" s="5" t="inlineStr">
        <is>
          <t>Opening Tier 2 capital (Balance Sheet liability-side anchor)</t>
        </is>
      </c>
      <c r="H129" s="59" t="n">
        <v>2000</v>
      </c>
    </row>
    <row r="130">
      <c r="C130" s="5" t="inlineStr">
        <is>
          <t>Core capital / RWA minimum (CBK)</t>
        </is>
      </c>
      <c r="H130" s="42" t="n">
        <v>0.105</v>
      </c>
    </row>
    <row r="131">
      <c r="C131" s="5" t="inlineStr">
        <is>
          <t>Total capital / RWA minimum (CBK)</t>
        </is>
      </c>
      <c r="H131" s="42" t="n">
        <v>0.145</v>
      </c>
    </row>
    <row r="132">
      <c r="C132" s="5" t="inlineStr">
        <is>
          <t>Core capital / deposits minimum (CBK)</t>
        </is>
      </c>
      <c r="H132" s="42" t="n">
        <v>0.08</v>
      </c>
    </row>
    <row r="133">
      <c r="C133" s="5" t="inlineStr">
        <is>
          <t>Minimum core capital, absolute (CBK)</t>
        </is>
      </c>
      <c r="H133" s="45" t="n">
        <v>5000</v>
      </c>
    </row>
    <row r="134">
      <c r="C134" s="5" t="inlineStr">
        <is>
          <t>Other RWA (% of gross loans, projected years)</t>
        </is>
      </c>
      <c r="H134" s="43" t="n">
        <v>0.3347</v>
      </c>
    </row>
    <row r="135">
      <c r="C135" s="5" t="inlineStr">
        <is>
          <t>Regulatory Tier 1 (% of Total Equity, projected years)</t>
        </is>
      </c>
      <c r="H135" s="43" t="n">
        <v>0.7481</v>
      </c>
    </row>
    <row r="136">
      <c r="C136" s="5" t="inlineStr">
        <is>
          <t>Regulatory Tier 2 (opening, held flat, projected years)</t>
        </is>
      </c>
      <c r="H136" s="59" t="n">
        <v>3899.296</v>
      </c>
    </row>
    <row r="137">
      <c r="C137" s="5" t="inlineStr">
        <is>
          <t>Share capital (opening, held flat)</t>
        </is>
      </c>
      <c r="H137" s="59" t="n">
        <v>1662.655</v>
      </c>
    </row>
    <row r="138">
      <c r="C138" s="5" t="inlineStr">
        <is>
          <t>Share premium (opening, held flat)</t>
        </is>
      </c>
      <c r="H138" s="59" t="n">
        <v>10944.549</v>
      </c>
    </row>
    <row r="140" ht="15" customHeight="1">
      <c r="A140" s="13" t="n"/>
      <c r="B140" s="13" t="n"/>
      <c r="C140" s="29" t="inlineStr">
        <is>
          <t>PP&amp;E, LIQUIDITY &amp; BALANCE-SHEET PLUGS</t>
        </is>
      </c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</row>
    <row r="141">
      <c r="C141" s="5" t="inlineStr">
        <is>
          <t>Opening PP&amp;E</t>
        </is>
      </c>
      <c r="H141" s="59" t="n">
        <v>2400.076</v>
      </c>
    </row>
    <row r="142">
      <c r="C142" s="5" t="inlineStr">
        <is>
          <t>D&amp;A rate (of opening PP&amp;E)</t>
        </is>
      </c>
      <c r="H142" s="43" t="n">
        <v>0.08</v>
      </c>
    </row>
    <row r="143">
      <c r="C143" s="5" t="inlineStr">
        <is>
          <t>Capex rate (of opening PP&amp;E)</t>
        </is>
      </c>
      <c r="H143" s="43" t="n">
        <v>0.09</v>
      </c>
    </row>
    <row r="144">
      <c r="C144" s="5" t="inlineStr">
        <is>
          <t>Opening cash</t>
        </is>
      </c>
      <c r="H144" s="45" t="n">
        <v>17675.744</v>
      </c>
      <c r="J144" s="34" t="inlineStr">
        <is>
          <t>Derived to tie opening liquidity ratio to disclosed 38.7%</t>
        </is>
      </c>
    </row>
    <row r="145">
      <c r="C145" s="5" t="inlineStr">
        <is>
          <t>Other B/S items growth rate (projected years)</t>
        </is>
      </c>
      <c r="H145" s="43" t="n">
        <v>0.08</v>
      </c>
      <c r="J145" s="34" t="inlineStr">
        <is>
          <t>Applies to granular Balance Sheet lines with no disclosed forward driver</t>
        </is>
      </c>
    </row>
    <row r="146">
      <c r="C146" s="5" t="inlineStr">
        <is>
          <t>Statutory liquidity ratio minimum (CBK)</t>
        </is>
      </c>
      <c r="H146" s="42" t="n">
        <v>0.2</v>
      </c>
    </row>
    <row r="148" ht="15" customHeight="1">
      <c r="A148" s="13" t="n"/>
      <c r="B148" s="13" t="n"/>
      <c r="C148" s="29" t="inlineStr">
        <is>
          <t>VALUATION</t>
        </is>
      </c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</row>
    <row r="149">
      <c r="C149" s="5" t="inlineStr">
        <is>
          <t>Risk-free rate (Kenya 10Y bond yield)</t>
        </is>
      </c>
      <c r="H149" s="61" t="n">
        <v>0.1232</v>
      </c>
    </row>
    <row r="150">
      <c r="C150" s="5" t="inlineStr">
        <is>
          <t>Equity risk premium (Kenya, Damodaran)</t>
        </is>
      </c>
      <c r="H150" s="61" t="n">
        <v>0.1394</v>
      </c>
      <c r="J150" s="34" t="inlineStr">
        <is>
          <t>[DISCLOSED] Damodaran total Kenya ERP, Jan 2026 data update</t>
        </is>
      </c>
    </row>
    <row r="151">
      <c r="C151" s="5" t="inlineStr">
        <is>
          <t>Beta</t>
        </is>
      </c>
      <c r="H151" s="62" t="n">
        <v>0.55</v>
      </c>
      <c r="J151" s="34" t="inlineStr">
        <is>
          <t>[DISCLOSED-DERIVED] average of 6 NSE-listed Kenyan peer bank betas, 24 Jul 2026</t>
        </is>
      </c>
    </row>
    <row r="152">
      <c r="C152" s="5" t="inlineStr">
        <is>
          <t>Terminal growth rate</t>
        </is>
      </c>
      <c r="H152" s="43" t="n">
        <v>0.08</v>
      </c>
    </row>
    <row r="153">
      <c r="C153" s="35" t="inlineStr">
        <is>
          <t>Cost of equity (CAPM)</t>
        </is>
      </c>
      <c r="H153" s="63">
        <f>H149+H151*H150</f>
        <v/>
      </c>
    </row>
    <row r="154">
      <c r="C154" s="5" t="inlineStr">
        <is>
          <t>Shares outstanding (FY2025 year-end, KES 1.00 par value)</t>
        </is>
      </c>
      <c r="H154" s="64" t="n">
        <v>1662.655</v>
      </c>
      <c r="J154" s="34" t="inlineStr">
        <is>
          <t>Integrated Report 2025 p.265 — period-end count, not the weighted-average count used for historical EPS</t>
        </is>
      </c>
    </row>
    <row r="156">
      <c r="C156" s="10" t="inlineStr">
        <is>
          <t>Blended valuation weights (DDM / RI / P-B-ROE)</t>
        </is>
      </c>
    </row>
    <row r="157">
      <c r="C157" s="5" t="inlineStr">
        <is>
          <t>Weight — DDM (primary)</t>
        </is>
      </c>
      <c r="H157" s="57" t="n">
        <v>0.5</v>
      </c>
    </row>
    <row r="158">
      <c r="C158" s="5" t="inlineStr">
        <is>
          <t>Weight — Residual Income (cross-check)</t>
        </is>
      </c>
      <c r="H158" s="57" t="n">
        <v>0.3</v>
      </c>
    </row>
    <row r="159">
      <c r="C159" s="5" t="inlineStr">
        <is>
          <t>Weight — P-B-ROE Regression (market check)</t>
        </is>
      </c>
      <c r="H159" s="57" t="n">
        <v>0.2</v>
      </c>
      <c r="J159" s="34" t="inlineStr">
        <is>
          <t>See BLUEPRINT.md "Blended valuation" for the industry-practice rationale</t>
        </is>
      </c>
    </row>
    <row r="161" ht="15" customHeight="1">
      <c r="A161" s="13" t="n"/>
      <c r="B161" s="13" t="n"/>
      <c r="C161" s="29" t="inlineStr">
        <is>
          <t>PEER BANKS — for P/B-ROE regression and P/E cross-check (P/B: current NSE price / book value per share, 24 Jul 2026)</t>
        </is>
      </c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</row>
    <row r="162" ht="5" customHeight="1"/>
    <row r="163">
      <c r="C163" s="65" t="inlineStr">
        <is>
          <t>Bank</t>
        </is>
      </c>
      <c r="G163" s="66" t="inlineStr">
        <is>
          <t>EPS FY24</t>
        </is>
      </c>
      <c r="H163" s="66" t="inlineStr">
        <is>
          <t>EPS FY25</t>
        </is>
      </c>
      <c r="I163" s="66" t="inlineStr">
        <is>
          <t>ROAE FY24</t>
        </is>
      </c>
      <c r="J163" s="66" t="inlineStr">
        <is>
          <t>ROAE FY25</t>
        </is>
      </c>
      <c r="K163" s="66" t="inlineStr">
        <is>
          <t>Payout FY25</t>
        </is>
      </c>
      <c r="L163" s="66" t="inlineStr">
        <is>
          <t>P/B</t>
        </is>
      </c>
    </row>
    <row r="164">
      <c r="C164" s="30" t="inlineStr">
        <is>
          <t>Absa</t>
        </is>
      </c>
      <c r="G164" s="67" t="n">
        <v>3.8</v>
      </c>
      <c r="H164" s="67" t="n">
        <v>4.2</v>
      </c>
      <c r="I164" s="42" t="n">
        <v>0.27</v>
      </c>
      <c r="J164" s="42" t="n">
        <v>0.247</v>
      </c>
      <c r="K164" s="42" t="n">
        <v>0.486</v>
      </c>
      <c r="L164" s="62" t="n">
        <v>1.69</v>
      </c>
    </row>
    <row r="165">
      <c r="C165" s="30" t="inlineStr">
        <is>
          <t>Co-op Bank</t>
        </is>
      </c>
      <c r="G165" s="67" t="n">
        <v>4.3</v>
      </c>
      <c r="H165" s="67" t="n">
        <v>5</v>
      </c>
      <c r="I165" s="42" t="n">
        <v>0.197</v>
      </c>
      <c r="J165" s="42" t="n">
        <v>0.191</v>
      </c>
      <c r="K165" s="42" t="n">
        <v>0.496</v>
      </c>
      <c r="L165" s="62" t="n">
        <v>1.18</v>
      </c>
    </row>
    <row r="166">
      <c r="C166" s="30" t="inlineStr">
        <is>
          <t>DTB</t>
        </is>
      </c>
      <c r="G166" s="67" t="n">
        <v>27.3</v>
      </c>
      <c r="H166" s="67" t="n">
        <v>33.7</v>
      </c>
      <c r="I166" s="42" t="n">
        <v>0.098</v>
      </c>
      <c r="J166" s="42" t="n">
        <v>0.103</v>
      </c>
      <c r="K166" s="42" t="n">
        <v>0.267</v>
      </c>
      <c r="L166" s="62" t="n">
        <v>0.36</v>
      </c>
    </row>
    <row r="167">
      <c r="C167" s="30" t="inlineStr">
        <is>
          <t>Equity Group</t>
        </is>
      </c>
      <c r="G167" s="67" t="n">
        <v>12.3</v>
      </c>
      <c r="H167" s="67" t="n">
        <v>19.1</v>
      </c>
      <c r="I167" s="42" t="n">
        <v>0.211</v>
      </c>
      <c r="J167" s="42" t="n">
        <v>0.265</v>
      </c>
      <c r="K167" s="42" t="n">
        <v>0.302</v>
      </c>
      <c r="L167" s="62" t="n">
        <v>0.96</v>
      </c>
    </row>
    <row r="168">
      <c r="C168" s="30" t="inlineStr">
        <is>
          <t>I&amp;M Group</t>
        </is>
      </c>
      <c r="G168" s="67" t="n">
        <v>8.9</v>
      </c>
      <c r="H168" s="67" t="n">
        <v>10.8</v>
      </c>
      <c r="I168" s="42" t="n">
        <v>0.162</v>
      </c>
      <c r="J168" s="42" t="n">
        <v>0.18</v>
      </c>
      <c r="K168" s="42" t="n">
        <v>0.348</v>
      </c>
      <c r="L168" s="62" t="n">
        <v>0.64</v>
      </c>
    </row>
    <row r="169">
      <c r="C169" s="30" t="inlineStr">
        <is>
          <t>KCB Group</t>
        </is>
      </c>
      <c r="G169" s="67" t="n">
        <v>18.7</v>
      </c>
      <c r="H169" s="67" t="n">
        <v>20.8</v>
      </c>
      <c r="I169" s="42" t="n">
        <v>0.246</v>
      </c>
      <c r="J169" s="42" t="n">
        <v>0.225</v>
      </c>
      <c r="K169" s="42" t="n">
        <v>0.337</v>
      </c>
      <c r="L169" s="62" t="n">
        <v>0.73</v>
      </c>
    </row>
    <row r="170">
      <c r="C170" s="30" t="inlineStr">
        <is>
          <t>NCBA</t>
        </is>
      </c>
      <c r="G170" s="67" t="n">
        <v>13.3</v>
      </c>
      <c r="H170" s="67" t="n">
        <v>14.2</v>
      </c>
      <c r="I170" s="42" t="n">
        <v>0.212</v>
      </c>
      <c r="J170" s="42" t="n">
        <v>0.197</v>
      </c>
      <c r="K170" s="42" t="n">
        <v>0.5</v>
      </c>
      <c r="L170" s="62" t="n">
        <v>1.2</v>
      </c>
    </row>
    <row r="171">
      <c r="C171" s="30" t="inlineStr">
        <is>
          <t>Stanbic Holdings</t>
        </is>
      </c>
      <c r="G171" s="67" t="n">
        <v>34.7</v>
      </c>
      <c r="H171" s="67" t="n">
        <v>34.7</v>
      </c>
      <c r="I171" s="42" t="n">
        <v>0.193</v>
      </c>
      <c r="J171" s="42" t="n">
        <v>0.18</v>
      </c>
      <c r="K171" s="42" t="n">
        <v>0.644</v>
      </c>
      <c r="L171" s="62" t="n">
        <v>1.44</v>
      </c>
    </row>
    <row r="172">
      <c r="C172" s="30" t="inlineStr">
        <is>
          <t>StanChart</t>
        </is>
      </c>
      <c r="G172" s="67" t="n">
        <v>52.7</v>
      </c>
      <c r="H172" s="67" t="n">
        <v>32.5</v>
      </c>
      <c r="I172" s="42" t="n">
        <v>0.301</v>
      </c>
      <c r="J172" s="42" t="n">
        <v>0.18</v>
      </c>
      <c r="K172" s="42" t="n">
        <v>0.955</v>
      </c>
      <c r="L172" s="62" t="n">
        <v>1.81</v>
      </c>
    </row>
    <row r="174">
      <c r="C174" s="35" t="inlineStr">
        <is>
          <t>P/B-ROE regression slope</t>
        </is>
      </c>
      <c r="H174" s="58">
        <f>SLOPE(L164:L172,J164:J172)</f>
        <v/>
      </c>
    </row>
    <row r="175">
      <c r="C175" s="35" t="inlineStr">
        <is>
          <t>P/B-ROE regression intercept</t>
        </is>
      </c>
      <c r="H175" s="58">
        <f>INTERCEPT(L164:L172,J164:J172)</f>
        <v/>
      </c>
    </row>
  </sheetData>
  <printOptions horizontalCentered="1"/>
  <pageMargins left="0.75" right="0.75" top="1" bottom="1" header="0.5" footer="0.5"/>
  <pageSetup orientation="landscape" scale="95"/>
  <headerFooter>
    <oddHeader/>
    <oddFooter>&amp;LPage &amp;P of &amp;N&amp;C&amp;A&amp;R&amp;D&amp;T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2" customWidth="1" min="3" max="3"/>
    <col width="16" customWidth="1" min="4" max="4"/>
    <col width="4" customWidth="1" min="5" max="5"/>
    <col width="12" customWidth="1" min="6" max="6"/>
    <col width="2" customWidth="1" min="7" max="7"/>
    <col width="3" customWidth="1" min="8" max="8"/>
    <col width="3" customWidth="1" min="9" max="9"/>
    <col width="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4" customWidth="1" min="16" max="16"/>
  </cols>
  <sheetData>
    <row r="1">
      <c r="C1" s="8" t="inlineStr">
        <is>
          <t>Family Bank Limited</t>
        </is>
      </c>
      <c r="O1" s="9">
        <f>HYPERLINK("#'Scenarios'!D5","Currently running: "&amp;UPPER(CHOOSE('Scenarios'!$D$5,"Base","Best","Worst"))&amp;" CASE")</f>
        <v/>
      </c>
    </row>
    <row r="3">
      <c r="C3" s="10" t="inlineStr">
        <is>
          <t>Scenario Comparison — Key Drivers</t>
        </is>
      </c>
    </row>
    <row r="5">
      <c r="C5" s="32" t="inlineStr">
        <is>
          <t>SCENARIO SWITCH (1=Base, 2=Best, 3=Worst):</t>
        </is>
      </c>
      <c r="D5" s="68" t="n">
        <v>1</v>
      </c>
      <c r="G5" s="49">
        <f>UPPER(CHOOSE($D$5,"Base","Best","Worst"))&amp;" CASE IS CURRENTLY LIVE ON THE MODEL SHEET"</f>
        <v/>
      </c>
    </row>
    <row r="7">
      <c r="C7" s="34" t="inlineStr">
        <is>
          <t>Modeled loan growth / IFRS 9 loss rates / opex escalation as calibrated per case (Best: growth x1.2, loss rates x0.8, opex x0.9 — Worst: growth x0.7, loss rates x1.4, opex x1.15)</t>
        </is>
      </c>
    </row>
    <row r="8" ht="5" customHeight="1"/>
    <row r="9" ht="18" customHeight="1">
      <c r="A9" s="11" t="n"/>
      <c r="B9" s="12" t="inlineStr">
        <is>
          <t>Total Income (KES MM)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69" t="inlineStr">
        <is>
          <t>2026P</t>
        </is>
      </c>
      <c r="L9" s="69" t="inlineStr">
        <is>
          <t>2027P</t>
        </is>
      </c>
      <c r="M9" s="69" t="inlineStr">
        <is>
          <t>2028P</t>
        </is>
      </c>
      <c r="N9" s="69" t="inlineStr">
        <is>
          <t>2029P</t>
        </is>
      </c>
      <c r="O9" s="69" t="inlineStr">
        <is>
          <t>2030P</t>
        </is>
      </c>
      <c r="P9" s="11" t="n"/>
    </row>
    <row r="11" ht="14" customHeight="1">
      <c r="A11" s="1" t="n"/>
      <c r="B11" s="1" t="n"/>
      <c r="C11" s="70" t="inlineStr"/>
      <c r="D11" s="1" t="n"/>
      <c r="E11" s="1" t="n"/>
      <c r="F11" s="1" t="n"/>
      <c r="G11" s="1" t="n"/>
      <c r="H11" s="1" t="n"/>
      <c r="I11" s="1" t="n"/>
      <c r="J11" s="1" t="n"/>
      <c r="K11" s="71">
        <f>CHOOSE('Scenarios'!$D$5,K12,K13,K14)</f>
        <v/>
      </c>
      <c r="L11" s="72">
        <f>CHOOSE('Scenarios'!$D$5,L12,L13,L14)</f>
        <v/>
      </c>
      <c r="M11" s="72">
        <f>CHOOSE('Scenarios'!$D$5,M12,M13,M14)</f>
        <v/>
      </c>
      <c r="N11" s="72">
        <f>CHOOSE('Scenarios'!$D$5,N12,N13,N14)</f>
        <v/>
      </c>
      <c r="O11" s="73">
        <f>CHOOSE('Scenarios'!$D$5,O12,O13,O14)</f>
        <v/>
      </c>
      <c r="P11" s="1" t="n"/>
    </row>
    <row r="12" ht="14" customHeight="1">
      <c r="A12" s="16" t="n"/>
      <c r="B12" s="16" t="n"/>
      <c r="C12" s="23" t="inlineStr">
        <is>
          <t>Base</t>
        </is>
      </c>
      <c r="D12" s="16" t="n"/>
      <c r="E12" s="16" t="n"/>
      <c r="F12" s="18" t="inlineStr">
        <is>
          <t>(KES MM)</t>
        </is>
      </c>
      <c r="G12" s="16" t="n"/>
      <c r="H12" s="16" t="n"/>
      <c r="I12" s="16" t="n"/>
      <c r="J12" s="16" t="n"/>
      <c r="K12" s="74" t="n">
        <v>21779.051812318</v>
      </c>
      <c r="L12" s="74" t="n">
        <v>23349.2763862683</v>
      </c>
      <c r="M12" s="74" t="n">
        <v>25023.82804053132</v>
      </c>
      <c r="N12" s="74" t="n">
        <v>26805.88026419953</v>
      </c>
      <c r="O12" s="74" t="n">
        <v>28697.67243099133</v>
      </c>
      <c r="P12" s="16" t="n"/>
    </row>
    <row r="13" ht="14" customHeight="1">
      <c r="A13" s="1" t="n"/>
      <c r="B13" s="1" t="n"/>
      <c r="C13" s="5" t="inlineStr">
        <is>
          <t>Best</t>
        </is>
      </c>
      <c r="D13" s="1" t="n"/>
      <c r="E13" s="1" t="n"/>
      <c r="F13" s="20" t="inlineStr">
        <is>
          <t>(KES MM)</t>
        </is>
      </c>
      <c r="G13" s="1" t="n"/>
      <c r="H13" s="1" t="n"/>
      <c r="I13" s="1" t="n"/>
      <c r="J13" s="1" t="n"/>
      <c r="K13" s="21" t="n">
        <v>22154.378412618</v>
      </c>
      <c r="L13" s="21" t="n">
        <v>24196.46697975825</v>
      </c>
      <c r="M13" s="21" t="n">
        <v>26458.27067923859</v>
      </c>
      <c r="N13" s="21" t="n">
        <v>28965.11629652125</v>
      </c>
      <c r="O13" s="21" t="n">
        <v>31745.24557872688</v>
      </c>
      <c r="P13" s="1" t="n"/>
    </row>
    <row r="14" ht="14" customHeight="1">
      <c r="A14" s="16" t="n"/>
      <c r="B14" s="16" t="n"/>
      <c r="C14" s="23" t="inlineStr">
        <is>
          <t>Worst</t>
        </is>
      </c>
      <c r="D14" s="16" t="n"/>
      <c r="E14" s="16" t="n"/>
      <c r="F14" s="18" t="inlineStr">
        <is>
          <t>(KES MM)</t>
        </is>
      </c>
      <c r="G14" s="16" t="n"/>
      <c r="H14" s="16" t="n"/>
      <c r="I14" s="16" t="n"/>
      <c r="J14" s="16" t="n"/>
      <c r="K14" s="74" t="n">
        <v>21216.061911868</v>
      </c>
      <c r="L14" s="74" t="n">
        <v>22111.40097088221</v>
      </c>
      <c r="M14" s="74" t="n">
        <v>22982.15929372682</v>
      </c>
      <c r="N14" s="74" t="n">
        <v>23812.16054265367</v>
      </c>
      <c r="O14" s="74" t="n">
        <v>24581.65119485715</v>
      </c>
      <c r="P14" s="16" t="n"/>
    </row>
    <row r="16" ht="18" customHeight="1">
      <c r="A16" s="11" t="n"/>
      <c r="B16" s="12" t="inlineStr">
        <is>
          <t>Net Interest Income (KES MM)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69" t="inlineStr">
        <is>
          <t>2026P</t>
        </is>
      </c>
      <c r="L16" s="69" t="inlineStr">
        <is>
          <t>2027P</t>
        </is>
      </c>
      <c r="M16" s="69" t="inlineStr">
        <is>
          <t>2028P</t>
        </is>
      </c>
      <c r="N16" s="69" t="inlineStr">
        <is>
          <t>2029P</t>
        </is>
      </c>
      <c r="O16" s="69" t="inlineStr">
        <is>
          <t>2030P</t>
        </is>
      </c>
      <c r="P16" s="11" t="n"/>
    </row>
    <row r="18" ht="14" customHeight="1">
      <c r="A18" s="1" t="n"/>
      <c r="B18" s="1" t="n"/>
      <c r="C18" s="70" t="inlineStr"/>
      <c r="D18" s="1" t="n"/>
      <c r="E18" s="1" t="n"/>
      <c r="F18" s="1" t="n"/>
      <c r="G18" s="1" t="n"/>
      <c r="H18" s="1" t="n"/>
      <c r="I18" s="1" t="n"/>
      <c r="J18" s="1" t="n"/>
      <c r="K18" s="71">
        <f>CHOOSE('Scenarios'!$D$5,K19,K20,K21)</f>
        <v/>
      </c>
      <c r="L18" s="72">
        <f>CHOOSE('Scenarios'!$D$5,L19,L20,L21)</f>
        <v/>
      </c>
      <c r="M18" s="72">
        <f>CHOOSE('Scenarios'!$D$5,M19,M20,M21)</f>
        <v/>
      </c>
      <c r="N18" s="72">
        <f>CHOOSE('Scenarios'!$D$5,N19,N20,N21)</f>
        <v/>
      </c>
      <c r="O18" s="73">
        <f>CHOOSE('Scenarios'!$D$5,O19,O20,O21)</f>
        <v/>
      </c>
      <c r="P18" s="1" t="n"/>
    </row>
    <row r="19" ht="14" customHeight="1">
      <c r="A19" s="16" t="n"/>
      <c r="B19" s="16" t="n"/>
      <c r="C19" s="23" t="inlineStr">
        <is>
          <t>Base</t>
        </is>
      </c>
      <c r="D19" s="16" t="n"/>
      <c r="E19" s="16" t="n"/>
      <c r="F19" s="18" t="inlineStr">
        <is>
          <t>(KES MM)</t>
        </is>
      </c>
      <c r="G19" s="16" t="n"/>
      <c r="H19" s="16" t="n"/>
      <c r="I19" s="16" t="n"/>
      <c r="J19" s="16" t="n"/>
      <c r="K19" s="74" t="n">
        <v>17293.616617</v>
      </c>
      <c r="L19" s="74" t="n">
        <v>18154.576906614</v>
      </c>
      <c r="M19" s="74" t="n">
        <v>19007.0629402555</v>
      </c>
      <c r="N19" s="74" t="n">
        <v>19836.21406535878</v>
      </c>
      <c r="O19" s="74" t="n">
        <v>20623.33855581822</v>
      </c>
      <c r="P19" s="16" t="n"/>
    </row>
    <row r="20" ht="14" customHeight="1">
      <c r="A20" s="1" t="n"/>
      <c r="B20" s="1" t="n"/>
      <c r="C20" s="5" t="inlineStr">
        <is>
          <t>Best</t>
        </is>
      </c>
      <c r="D20" s="1" t="n"/>
      <c r="E20" s="1" t="n"/>
      <c r="F20" s="20" t="inlineStr">
        <is>
          <t>(KES MM)</t>
        </is>
      </c>
      <c r="G20" s="1" t="n"/>
      <c r="H20" s="1" t="n"/>
      <c r="I20" s="1" t="n"/>
      <c r="J20" s="1" t="n"/>
      <c r="K20" s="21" t="n">
        <v>17668.9432173</v>
      </c>
      <c r="L20" s="21" t="n">
        <v>19001.76750010395</v>
      </c>
      <c r="M20" s="21" t="n">
        <v>20441.50557896277</v>
      </c>
      <c r="N20" s="21" t="n">
        <v>21995.4500976805</v>
      </c>
      <c r="O20" s="21" t="n">
        <v>23670.91170355377</v>
      </c>
      <c r="P20" s="1" t="n"/>
    </row>
    <row r="21" ht="14" customHeight="1">
      <c r="A21" s="16" t="n"/>
      <c r="B21" s="16" t="n"/>
      <c r="C21" s="23" t="inlineStr">
        <is>
          <t>Worst</t>
        </is>
      </c>
      <c r="D21" s="16" t="n"/>
      <c r="E21" s="16" t="n"/>
      <c r="F21" s="18" t="inlineStr">
        <is>
          <t>(KES MM)</t>
        </is>
      </c>
      <c r="G21" s="16" t="n"/>
      <c r="H21" s="16" t="n"/>
      <c r="I21" s="16" t="n"/>
      <c r="J21" s="16" t="n"/>
      <c r="K21" s="74" t="n">
        <v>16730.62671655</v>
      </c>
      <c r="L21" s="74" t="n">
        <v>16916.7014912279</v>
      </c>
      <c r="M21" s="74" t="n">
        <v>16965.394193451</v>
      </c>
      <c r="N21" s="74" t="n">
        <v>16842.49434381292</v>
      </c>
      <c r="O21" s="74" t="n">
        <v>16507.31731968404</v>
      </c>
      <c r="P21" s="16" t="n"/>
    </row>
    <row r="23" ht="18" customHeight="1">
      <c r="A23" s="11" t="n"/>
      <c r="B23" s="12" t="inlineStr">
        <is>
          <t>Net Profit After Tax (KES MM)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69" t="inlineStr">
        <is>
          <t>2026P</t>
        </is>
      </c>
      <c r="L23" s="69" t="inlineStr">
        <is>
          <t>2027P</t>
        </is>
      </c>
      <c r="M23" s="69" t="inlineStr">
        <is>
          <t>2028P</t>
        </is>
      </c>
      <c r="N23" s="69" t="inlineStr">
        <is>
          <t>2029P</t>
        </is>
      </c>
      <c r="O23" s="69" t="inlineStr">
        <is>
          <t>2030P</t>
        </is>
      </c>
      <c r="P23" s="11" t="n"/>
    </row>
    <row r="25" ht="14" customHeight="1">
      <c r="A25" s="1" t="n"/>
      <c r="B25" s="1" t="n"/>
      <c r="C25" s="70" t="inlineStr"/>
      <c r="D25" s="1" t="n"/>
      <c r="E25" s="1" t="n"/>
      <c r="F25" s="1" t="n"/>
      <c r="G25" s="1" t="n"/>
      <c r="H25" s="1" t="n"/>
      <c r="I25" s="1" t="n"/>
      <c r="J25" s="1" t="n"/>
      <c r="K25" s="71">
        <f>CHOOSE('Scenarios'!$D$5,K26,K27,K28)</f>
        <v/>
      </c>
      <c r="L25" s="72">
        <f>CHOOSE('Scenarios'!$D$5,L26,L27,L28)</f>
        <v/>
      </c>
      <c r="M25" s="72">
        <f>CHOOSE('Scenarios'!$D$5,M26,M27,M28)</f>
        <v/>
      </c>
      <c r="N25" s="72">
        <f>CHOOSE('Scenarios'!$D$5,N26,N27,N28)</f>
        <v/>
      </c>
      <c r="O25" s="73">
        <f>CHOOSE('Scenarios'!$D$5,O26,O27,O28)</f>
        <v/>
      </c>
      <c r="P25" s="1" t="n"/>
    </row>
    <row r="26" ht="14" customHeight="1">
      <c r="A26" s="16" t="n"/>
      <c r="B26" s="16" t="n"/>
      <c r="C26" s="23" t="inlineStr">
        <is>
          <t>Base</t>
        </is>
      </c>
      <c r="D26" s="16" t="n"/>
      <c r="E26" s="16" t="n"/>
      <c r="F26" s="18" t="inlineStr">
        <is>
          <t>(KES MM)</t>
        </is>
      </c>
      <c r="G26" s="16" t="n"/>
      <c r="H26" s="16" t="n"/>
      <c r="I26" s="16" t="n"/>
      <c r="J26" s="16" t="n"/>
      <c r="K26" s="74" t="n">
        <v>6771.010186695683</v>
      </c>
      <c r="L26" s="74" t="n">
        <v>7189.909517567552</v>
      </c>
      <c r="M26" s="74" t="n">
        <v>7475.908398620508</v>
      </c>
      <c r="N26" s="74" t="n">
        <v>7786.389881950714</v>
      </c>
      <c r="O26" s="74" t="n">
        <v>8111.198034630094</v>
      </c>
      <c r="P26" s="16" t="n"/>
    </row>
    <row r="27" ht="14" customHeight="1">
      <c r="A27" s="1" t="n"/>
      <c r="B27" s="1" t="n"/>
      <c r="C27" s="5" t="inlineStr">
        <is>
          <t>Best</t>
        </is>
      </c>
      <c r="D27" s="1" t="n"/>
      <c r="E27" s="1" t="n"/>
      <c r="F27" s="20" t="inlineStr">
        <is>
          <t>(KES MM)</t>
        </is>
      </c>
      <c r="G27" s="1" t="n"/>
      <c r="H27" s="1" t="n"/>
      <c r="I27" s="1" t="n"/>
      <c r="J27" s="1" t="n"/>
      <c r="K27" s="21" t="n">
        <v>7051.238893205503</v>
      </c>
      <c r="L27" s="21" t="n">
        <v>7858.787763896542</v>
      </c>
      <c r="M27" s="21" t="n">
        <v>8649.260971632892</v>
      </c>
      <c r="N27" s="21" t="n">
        <v>9565.372164150038</v>
      </c>
      <c r="O27" s="21" t="n">
        <v>10618.00009457911</v>
      </c>
      <c r="P27" s="1" t="n"/>
    </row>
    <row r="28" ht="14" customHeight="1">
      <c r="A28" s="16" t="n"/>
      <c r="B28" s="16" t="n"/>
      <c r="C28" s="23" t="inlineStr">
        <is>
          <t>Worst</t>
        </is>
      </c>
      <c r="D28" s="16" t="n"/>
      <c r="E28" s="16" t="n"/>
      <c r="F28" s="18" t="inlineStr">
        <is>
          <t>(KES MM)</t>
        </is>
      </c>
      <c r="G28" s="16" t="n"/>
      <c r="H28" s="16" t="n"/>
      <c r="I28" s="16" t="n"/>
      <c r="J28" s="16" t="n"/>
      <c r="K28" s="74" t="n">
        <v>6351.006540084517</v>
      </c>
      <c r="L28" s="74" t="n">
        <v>6218.455163644541</v>
      </c>
      <c r="M28" s="74" t="n">
        <v>5797.94252768053</v>
      </c>
      <c r="N28" s="74" t="n">
        <v>5292.456451819832</v>
      </c>
      <c r="O28" s="74" t="n">
        <v>4669.812246185262</v>
      </c>
      <c r="P28" s="16" t="n"/>
    </row>
    <row r="30" ht="18" customHeight="1">
      <c r="A30" s="11" t="n"/>
      <c r="B30" s="12" t="inlineStr">
        <is>
          <t>NPL Ratio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69" t="inlineStr">
        <is>
          <t>2026P</t>
        </is>
      </c>
      <c r="L30" s="69" t="inlineStr">
        <is>
          <t>2027P</t>
        </is>
      </c>
      <c r="M30" s="69" t="inlineStr">
        <is>
          <t>2028P</t>
        </is>
      </c>
      <c r="N30" s="69" t="inlineStr">
        <is>
          <t>2029P</t>
        </is>
      </c>
      <c r="O30" s="69" t="inlineStr">
        <is>
          <t>2030P</t>
        </is>
      </c>
      <c r="P30" s="11" t="n"/>
    </row>
    <row r="32" ht="14" customHeight="1">
      <c r="A32" s="1" t="n"/>
      <c r="B32" s="1" t="n"/>
      <c r="C32" s="70" t="inlineStr"/>
      <c r="D32" s="1" t="n"/>
      <c r="E32" s="1" t="n"/>
      <c r="F32" s="1" t="n"/>
      <c r="G32" s="1" t="n"/>
      <c r="H32" s="1" t="n"/>
      <c r="I32" s="1" t="n"/>
      <c r="J32" s="1" t="n"/>
      <c r="K32" s="75">
        <f>CHOOSE('Scenarios'!$D$5,K33,K34,K35)</f>
        <v/>
      </c>
      <c r="L32" s="76">
        <f>CHOOSE('Scenarios'!$D$5,L33,L34,L35)</f>
        <v/>
      </c>
      <c r="M32" s="76">
        <f>CHOOSE('Scenarios'!$D$5,M33,M34,M35)</f>
        <v/>
      </c>
      <c r="N32" s="76">
        <f>CHOOSE('Scenarios'!$D$5,N33,N34,N35)</f>
        <v/>
      </c>
      <c r="O32" s="77">
        <f>CHOOSE('Scenarios'!$D$5,O33,O34,O35)</f>
        <v/>
      </c>
      <c r="P32" s="1" t="n"/>
    </row>
    <row r="33" ht="14" customHeight="1">
      <c r="A33" s="16" t="n"/>
      <c r="B33" s="16" t="n"/>
      <c r="C33" s="23" t="inlineStr">
        <is>
          <t>Base</t>
        </is>
      </c>
      <c r="D33" s="16" t="n"/>
      <c r="E33" s="16" t="n"/>
      <c r="F33" s="16" t="n"/>
      <c r="G33" s="16" t="n"/>
      <c r="H33" s="16" t="n"/>
      <c r="I33" s="16" t="n"/>
      <c r="J33" s="16" t="n"/>
      <c r="K33" s="24" t="n">
        <v>0.1077086281405681</v>
      </c>
      <c r="L33" s="24" t="n">
        <v>0.09527460059494551</v>
      </c>
      <c r="M33" s="24" t="n">
        <v>0.08669025988842191</v>
      </c>
      <c r="N33" s="24" t="n">
        <v>0.08071982199395002</v>
      </c>
      <c r="O33" s="24" t="n">
        <v>0.07653694880745758</v>
      </c>
      <c r="P33" s="16" t="n"/>
    </row>
    <row r="34" ht="14" customHeight="1">
      <c r="A34" s="1" t="n"/>
      <c r="B34" s="1" t="n"/>
      <c r="C34" s="5" t="inlineStr">
        <is>
          <t>Best</t>
        </is>
      </c>
      <c r="D34" s="1" t="n"/>
      <c r="E34" s="1" t="n"/>
      <c r="F34" s="1" t="n"/>
      <c r="G34" s="1" t="n"/>
      <c r="H34" s="1" t="n"/>
      <c r="I34" s="1" t="n"/>
      <c r="J34" s="1" t="n"/>
      <c r="K34" s="22" t="n">
        <v>0.105537761777698</v>
      </c>
      <c r="L34" s="22" t="n">
        <v>0.09146723422234286</v>
      </c>
      <c r="M34" s="22" t="n">
        <v>0.08165159222456322</v>
      </c>
      <c r="N34" s="22" t="n">
        <v>0.07475748169876888</v>
      </c>
      <c r="O34" s="22" t="n">
        <v>0.0698842286605936</v>
      </c>
      <c r="P34" s="1" t="n"/>
    </row>
    <row r="35" ht="14" customHeight="1">
      <c r="A35" s="16" t="n"/>
      <c r="B35" s="16" t="n"/>
      <c r="C35" s="23" t="inlineStr">
        <is>
          <t>Worst</t>
        </is>
      </c>
      <c r="D35" s="16" t="n"/>
      <c r="E35" s="16" t="n"/>
      <c r="F35" s="16" t="n"/>
      <c r="G35" s="16" t="n"/>
      <c r="H35" s="16" t="n"/>
      <c r="I35" s="16" t="n"/>
      <c r="J35" s="16" t="n"/>
      <c r="K35" s="24" t="n">
        <v>0.1111377104891518</v>
      </c>
      <c r="L35" s="24" t="n">
        <v>0.1014453163111999</v>
      </c>
      <c r="M35" s="24" t="n">
        <v>0.0950602914580445</v>
      </c>
      <c r="N35" s="24" t="n">
        <v>0.09085526061665496</v>
      </c>
      <c r="O35" s="24" t="n">
        <v>0.08808807062638219</v>
      </c>
      <c r="P35" s="16" t="n"/>
    </row>
    <row r="37" ht="18" customHeight="1">
      <c r="A37" s="11" t="n"/>
      <c r="B37" s="12" t="inlineStr">
        <is>
          <t>Total Capital Ratio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69" t="inlineStr">
        <is>
          <t>2026P</t>
        </is>
      </c>
      <c r="L37" s="69" t="inlineStr">
        <is>
          <t>2027P</t>
        </is>
      </c>
      <c r="M37" s="69" t="inlineStr">
        <is>
          <t>2028P</t>
        </is>
      </c>
      <c r="N37" s="69" t="inlineStr">
        <is>
          <t>2029P</t>
        </is>
      </c>
      <c r="O37" s="69" t="inlineStr">
        <is>
          <t>2030P</t>
        </is>
      </c>
      <c r="P37" s="11" t="n"/>
    </row>
    <row r="39" ht="14" customHeight="1">
      <c r="A39" s="1" t="n"/>
      <c r="B39" s="1" t="n"/>
      <c r="C39" s="70" t="inlineStr"/>
      <c r="D39" s="1" t="n"/>
      <c r="E39" s="1" t="n"/>
      <c r="F39" s="1" t="n"/>
      <c r="G39" s="1" t="n"/>
      <c r="H39" s="1" t="n"/>
      <c r="I39" s="1" t="n"/>
      <c r="J39" s="1" t="n"/>
      <c r="K39" s="75">
        <f>CHOOSE('Scenarios'!$D$5,K40,K41,K42)</f>
        <v/>
      </c>
      <c r="L39" s="76">
        <f>CHOOSE('Scenarios'!$D$5,L40,L41,L42)</f>
        <v/>
      </c>
      <c r="M39" s="76">
        <f>CHOOSE('Scenarios'!$D$5,M40,M41,M42)</f>
        <v/>
      </c>
      <c r="N39" s="76">
        <f>CHOOSE('Scenarios'!$D$5,N40,N41,N42)</f>
        <v/>
      </c>
      <c r="O39" s="77">
        <f>CHOOSE('Scenarios'!$D$5,O40,O41,O42)</f>
        <v/>
      </c>
      <c r="P39" s="1" t="n"/>
    </row>
    <row r="40" ht="14" customHeight="1">
      <c r="A40" s="16" t="n"/>
      <c r="B40" s="16" t="n"/>
      <c r="C40" s="23" t="inlineStr">
        <is>
          <t>Base</t>
        </is>
      </c>
      <c r="D40" s="16" t="n"/>
      <c r="E40" s="16" t="n"/>
      <c r="F40" s="16" t="n"/>
      <c r="G40" s="16" t="n"/>
      <c r="H40" s="16" t="n"/>
      <c r="I40" s="16" t="n"/>
      <c r="J40" s="16" t="n"/>
      <c r="K40" s="24" t="n">
        <v>0.1963206331440639</v>
      </c>
      <c r="L40" s="24" t="n">
        <v>0.198180888576943</v>
      </c>
      <c r="M40" s="24" t="n">
        <v>0.1982868622481029</v>
      </c>
      <c r="N40" s="24" t="n">
        <v>0.1969591051842582</v>
      </c>
      <c r="O40" s="24" t="n">
        <v>0.1944442952557891</v>
      </c>
      <c r="P40" s="16" t="n"/>
    </row>
    <row r="41" ht="14" customHeight="1">
      <c r="A41" s="1" t="n"/>
      <c r="B41" s="1" t="n"/>
      <c r="C41" s="5" t="inlineStr">
        <is>
          <t>Best</t>
        </is>
      </c>
      <c r="D41" s="1" t="n"/>
      <c r="E41" s="1" t="n"/>
      <c r="F41" s="1" t="n"/>
      <c r="G41" s="1" t="n"/>
      <c r="H41" s="1" t="n"/>
      <c r="I41" s="1" t="n"/>
      <c r="J41" s="1" t="n"/>
      <c r="K41" s="22" t="n">
        <v>0.1932757732699934</v>
      </c>
      <c r="L41" s="22" t="n">
        <v>0.1930147727417736</v>
      </c>
      <c r="M41" s="22" t="n">
        <v>0.1919481342013102</v>
      </c>
      <c r="N41" s="22" t="n">
        <v>0.1903066730616154</v>
      </c>
      <c r="O41" s="22" t="n">
        <v>0.1882592236559227</v>
      </c>
      <c r="P41" s="1" t="n"/>
    </row>
    <row r="42" ht="14" customHeight="1">
      <c r="A42" s="16" t="n"/>
      <c r="B42" s="16" t="n"/>
      <c r="C42" s="23" t="inlineStr">
        <is>
          <t>Worst</t>
        </is>
      </c>
      <c r="D42" s="16" t="n"/>
      <c r="E42" s="16" t="n"/>
      <c r="F42" s="16" t="n"/>
      <c r="G42" s="16" t="n"/>
      <c r="H42" s="16" t="n"/>
      <c r="I42" s="16" t="n"/>
      <c r="J42" s="16" t="n"/>
      <c r="K42" s="24" t="n">
        <v>0.2011341554835117</v>
      </c>
      <c r="L42" s="24" t="n">
        <v>0.2065441994825764</v>
      </c>
      <c r="M42" s="24" t="n">
        <v>0.2086883691851228</v>
      </c>
      <c r="N42" s="24" t="n">
        <v>0.207884531758009</v>
      </c>
      <c r="O42" s="24" t="n">
        <v>0.2043668201875172</v>
      </c>
      <c r="P42" s="16" t="n"/>
    </row>
    <row r="44" ht="18" customHeight="1">
      <c r="A44" s="11" t="n"/>
      <c r="B44" s="12" t="inlineStr">
        <is>
          <t>Liquidity Ratio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69" t="inlineStr">
        <is>
          <t>2026P</t>
        </is>
      </c>
      <c r="L44" s="69" t="inlineStr">
        <is>
          <t>2027P</t>
        </is>
      </c>
      <c r="M44" s="69" t="inlineStr">
        <is>
          <t>2028P</t>
        </is>
      </c>
      <c r="N44" s="69" t="inlineStr">
        <is>
          <t>2029P</t>
        </is>
      </c>
      <c r="O44" s="69" t="inlineStr">
        <is>
          <t>2030P</t>
        </is>
      </c>
      <c r="P44" s="11" t="n"/>
    </row>
    <row r="46" ht="14" customHeight="1">
      <c r="A46" s="1" t="n"/>
      <c r="B46" s="1" t="n"/>
      <c r="C46" s="70" t="inlineStr"/>
      <c r="D46" s="1" t="n"/>
      <c r="E46" s="1" t="n"/>
      <c r="F46" s="1" t="n"/>
      <c r="G46" s="1" t="n"/>
      <c r="H46" s="1" t="n"/>
      <c r="I46" s="1" t="n"/>
      <c r="J46" s="1" t="n"/>
      <c r="K46" s="75">
        <f>CHOOSE('Scenarios'!$D$5,K47,K48,K49)</f>
        <v/>
      </c>
      <c r="L46" s="76">
        <f>CHOOSE('Scenarios'!$D$5,L47,L48,L49)</f>
        <v/>
      </c>
      <c r="M46" s="76">
        <f>CHOOSE('Scenarios'!$D$5,M47,M48,M49)</f>
        <v/>
      </c>
      <c r="N46" s="76">
        <f>CHOOSE('Scenarios'!$D$5,N47,N48,N49)</f>
        <v/>
      </c>
      <c r="O46" s="77">
        <f>CHOOSE('Scenarios'!$D$5,O47,O48,O49)</f>
        <v/>
      </c>
      <c r="P46" s="1" t="n"/>
    </row>
    <row r="47" ht="14" customHeight="1">
      <c r="A47" s="16" t="n"/>
      <c r="B47" s="16" t="n"/>
      <c r="C47" s="23" t="inlineStr">
        <is>
          <t>Base</t>
        </is>
      </c>
      <c r="D47" s="16" t="n"/>
      <c r="E47" s="16" t="n"/>
      <c r="F47" s="16" t="n"/>
      <c r="G47" s="16" t="n"/>
      <c r="H47" s="16" t="n"/>
      <c r="I47" s="16" t="n"/>
      <c r="J47" s="16" t="n"/>
      <c r="K47" s="24" t="n">
        <v>0.5371992476981891</v>
      </c>
      <c r="L47" s="24" t="n">
        <v>0.5570277629205171</v>
      </c>
      <c r="M47" s="24" t="n">
        <v>0.574831983201305</v>
      </c>
      <c r="N47" s="24" t="n">
        <v>0.5908166053242714</v>
      </c>
      <c r="O47" s="24" t="n">
        <v>0.6051967579716357</v>
      </c>
      <c r="P47" s="16" t="n"/>
    </row>
    <row r="48" ht="14" customHeight="1">
      <c r="A48" s="1" t="n"/>
      <c r="B48" s="1" t="n"/>
      <c r="C48" s="5" t="inlineStr">
        <is>
          <t>Best</t>
        </is>
      </c>
      <c r="D48" s="1" t="n"/>
      <c r="E48" s="1" t="n"/>
      <c r="F48" s="1" t="n"/>
      <c r="G48" s="1" t="n"/>
      <c r="H48" s="1" t="n"/>
      <c r="I48" s="1" t="n"/>
      <c r="J48" s="1" t="n"/>
      <c r="K48" s="22" t="n">
        <v>0.5138835703437774</v>
      </c>
      <c r="L48" s="22" t="n">
        <v>0.5229328002386218</v>
      </c>
      <c r="M48" s="22" t="n">
        <v>0.5314159848604613</v>
      </c>
      <c r="N48" s="22" t="n">
        <v>0.5393559119951469</v>
      </c>
      <c r="O48" s="22" t="n">
        <v>0.5467996838578686</v>
      </c>
      <c r="P48" s="1" t="n"/>
    </row>
    <row r="49" ht="14" customHeight="1">
      <c r="A49" s="16" t="n"/>
      <c r="B49" s="16" t="n"/>
      <c r="C49" s="23" t="inlineStr">
        <is>
          <t>Worst</t>
        </is>
      </c>
      <c r="D49" s="16" t="n"/>
      <c r="E49" s="16" t="n"/>
      <c r="F49" s="16" t="n"/>
      <c r="G49" s="16" t="n"/>
      <c r="H49" s="16" t="n"/>
      <c r="I49" s="16" t="n"/>
      <c r="J49" s="16" t="n"/>
      <c r="K49" s="24" t="n">
        <v>0.5768061160430894</v>
      </c>
      <c r="L49" s="24" t="n">
        <v>0.6110876645588506</v>
      </c>
      <c r="M49" s="24" t="n">
        <v>0.6403914057269351</v>
      </c>
      <c r="N49" s="24" t="n">
        <v>0.6653298328641808</v>
      </c>
      <c r="O49" s="24" t="n">
        <v>0.686494846507113</v>
      </c>
      <c r="P49" s="16" t="n"/>
    </row>
    <row r="51" ht="18" customHeight="1">
      <c r="A51" s="11" t="n"/>
      <c r="B51" s="12" t="inlineStr">
        <is>
          <t>Return on Assets (avg)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69" t="inlineStr">
        <is>
          <t>2026P</t>
        </is>
      </c>
      <c r="L51" s="69" t="inlineStr">
        <is>
          <t>2027P</t>
        </is>
      </c>
      <c r="M51" s="69" t="inlineStr">
        <is>
          <t>2028P</t>
        </is>
      </c>
      <c r="N51" s="69" t="inlineStr">
        <is>
          <t>2029P</t>
        </is>
      </c>
      <c r="O51" s="69" t="inlineStr">
        <is>
          <t>2030P</t>
        </is>
      </c>
      <c r="P51" s="11" t="n"/>
    </row>
    <row r="53" ht="14" customHeight="1">
      <c r="A53" s="1" t="n"/>
      <c r="B53" s="1" t="n"/>
      <c r="C53" s="70" t="inlineStr"/>
      <c r="D53" s="1" t="n"/>
      <c r="E53" s="1" t="n"/>
      <c r="F53" s="1" t="n"/>
      <c r="G53" s="1" t="n"/>
      <c r="H53" s="1" t="n"/>
      <c r="I53" s="1" t="n"/>
      <c r="J53" s="1" t="n"/>
      <c r="K53" s="75">
        <f>CHOOSE('Scenarios'!$D$5,K54,K55,K56)</f>
        <v/>
      </c>
      <c r="L53" s="76">
        <f>CHOOSE('Scenarios'!$D$5,L54,L55,L56)</f>
        <v/>
      </c>
      <c r="M53" s="76">
        <f>CHOOSE('Scenarios'!$D$5,M54,M55,M56)</f>
        <v/>
      </c>
      <c r="N53" s="76">
        <f>CHOOSE('Scenarios'!$D$5,N54,N55,N56)</f>
        <v/>
      </c>
      <c r="O53" s="77">
        <f>CHOOSE('Scenarios'!$D$5,O54,O55,O56)</f>
        <v/>
      </c>
      <c r="P53" s="1" t="n"/>
    </row>
    <row r="54" ht="14" customHeight="1">
      <c r="A54" s="16" t="n"/>
      <c r="B54" s="16" t="n"/>
      <c r="C54" s="23" t="inlineStr">
        <is>
          <t>Base</t>
        </is>
      </c>
      <c r="D54" s="16" t="n"/>
      <c r="E54" s="16" t="n"/>
      <c r="F54" s="16" t="n"/>
      <c r="G54" s="16" t="n"/>
      <c r="H54" s="16" t="n"/>
      <c r="I54" s="16" t="n"/>
      <c r="J54" s="16" t="n"/>
      <c r="K54" s="24" t="n">
        <v>0.03220737872108741</v>
      </c>
      <c r="L54" s="24" t="n">
        <v>0.03056700298760658</v>
      </c>
      <c r="M54" s="24" t="n">
        <v>0.02755565977594971</v>
      </c>
      <c r="N54" s="24" t="n">
        <v>0.02491836930002066</v>
      </c>
      <c r="O54" s="24" t="n">
        <v>0.02256042235859114</v>
      </c>
      <c r="P54" s="16" t="n"/>
    </row>
    <row r="55" ht="14" customHeight="1">
      <c r="A55" s="1" t="n"/>
      <c r="B55" s="1" t="n"/>
      <c r="C55" s="5" t="inlineStr">
        <is>
          <t>Best</t>
        </is>
      </c>
      <c r="D55" s="1" t="n"/>
      <c r="E55" s="1" t="n"/>
      <c r="F55" s="1" t="n"/>
      <c r="G55" s="1" t="n"/>
      <c r="H55" s="1" t="n"/>
      <c r="I55" s="1" t="n"/>
      <c r="J55" s="1" t="n"/>
      <c r="K55" s="22" t="n">
        <v>0.03339368494366847</v>
      </c>
      <c r="L55" s="22" t="n">
        <v>0.03334530232647508</v>
      </c>
      <c r="M55" s="22" t="n">
        <v>0.03174577329829115</v>
      </c>
      <c r="N55" s="22" t="n">
        <v>0.03039184176398435</v>
      </c>
      <c r="O55" s="22" t="n">
        <v>0.0292186272697578</v>
      </c>
      <c r="P55" s="1" t="n"/>
    </row>
    <row r="56" ht="14" customHeight="1">
      <c r="A56" s="16" t="n"/>
      <c r="B56" s="16" t="n"/>
      <c r="C56" s="23" t="inlineStr">
        <is>
          <t>Worst</t>
        </is>
      </c>
      <c r="D56" s="16" t="n"/>
      <c r="E56" s="16" t="n"/>
      <c r="F56" s="16" t="n"/>
      <c r="G56" s="16" t="n"/>
      <c r="H56" s="16" t="n"/>
      <c r="I56" s="16" t="n"/>
      <c r="J56" s="16" t="n"/>
      <c r="K56" s="24" t="n">
        <v>0.03046954081412911</v>
      </c>
      <c r="L56" s="24" t="n">
        <v>0.02651355589760369</v>
      </c>
      <c r="M56" s="24" t="n">
        <v>0.02150338691284526</v>
      </c>
      <c r="N56" s="24" t="n">
        <v>0.01711447511799808</v>
      </c>
      <c r="O56" s="24" t="n">
        <v>0.01318898364559304</v>
      </c>
      <c r="P56" s="16" t="n"/>
    </row>
    <row r="58" ht="18" customHeight="1">
      <c r="A58" s="11" t="n"/>
      <c r="B58" s="12" t="inlineStr">
        <is>
          <t>Return on Equity (avg)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69" t="inlineStr">
        <is>
          <t>2026P</t>
        </is>
      </c>
      <c r="L58" s="69" t="inlineStr">
        <is>
          <t>2027P</t>
        </is>
      </c>
      <c r="M58" s="69" t="inlineStr">
        <is>
          <t>2028P</t>
        </is>
      </c>
      <c r="N58" s="69" t="inlineStr">
        <is>
          <t>2029P</t>
        </is>
      </c>
      <c r="O58" s="69" t="inlineStr">
        <is>
          <t>2030P</t>
        </is>
      </c>
      <c r="P58" s="11" t="n"/>
    </row>
    <row r="60" ht="14" customHeight="1">
      <c r="A60" s="1" t="n"/>
      <c r="B60" s="1" t="n"/>
      <c r="C60" s="70" t="inlineStr"/>
      <c r="D60" s="1" t="n"/>
      <c r="E60" s="1" t="n"/>
      <c r="F60" s="1" t="n"/>
      <c r="G60" s="1" t="n"/>
      <c r="H60" s="1" t="n"/>
      <c r="I60" s="1" t="n"/>
      <c r="J60" s="1" t="n"/>
      <c r="K60" s="75">
        <f>CHOOSE('Scenarios'!$D$5,K61,K62,K63)</f>
        <v/>
      </c>
      <c r="L60" s="76">
        <f>CHOOSE('Scenarios'!$D$5,L61,L62,L63)</f>
        <v/>
      </c>
      <c r="M60" s="76">
        <f>CHOOSE('Scenarios'!$D$5,M61,M62,M63)</f>
        <v/>
      </c>
      <c r="N60" s="76">
        <f>CHOOSE('Scenarios'!$D$5,N61,N62,N63)</f>
        <v/>
      </c>
      <c r="O60" s="77">
        <f>CHOOSE('Scenarios'!$D$5,O61,O62,O63)</f>
        <v/>
      </c>
      <c r="P60" s="1" t="n"/>
    </row>
    <row r="61" ht="14" customHeight="1">
      <c r="A61" s="16" t="n"/>
      <c r="B61" s="16" t="n"/>
      <c r="C61" s="23" t="inlineStr">
        <is>
          <t>Base</t>
        </is>
      </c>
      <c r="D61" s="16" t="n"/>
      <c r="E61" s="16" t="n"/>
      <c r="F61" s="16" t="n"/>
      <c r="G61" s="16" t="n"/>
      <c r="H61" s="16" t="n"/>
      <c r="I61" s="16" t="n"/>
      <c r="J61" s="16" t="n"/>
      <c r="K61" s="24" t="n">
        <v>0.1954305068919109</v>
      </c>
      <c r="L61" s="24" t="n">
        <v>0.1802796362891367</v>
      </c>
      <c r="M61" s="24" t="n">
        <v>0.1647341129543617</v>
      </c>
      <c r="N61" s="24" t="n">
        <v>0.1523605464262602</v>
      </c>
      <c r="O61" s="24" t="n">
        <v>0.1421355889577494</v>
      </c>
      <c r="P61" s="16" t="n"/>
    </row>
    <row r="62" ht="14" customHeight="1">
      <c r="A62" s="1" t="n"/>
      <c r="B62" s="1" t="n"/>
      <c r="C62" s="5" t="inlineStr">
        <is>
          <t>Best</t>
        </is>
      </c>
      <c r="D62" s="1" t="n"/>
      <c r="E62" s="1" t="n"/>
      <c r="F62" s="1" t="n"/>
      <c r="G62" s="1" t="n"/>
      <c r="H62" s="1" t="n"/>
      <c r="I62" s="1" t="n"/>
      <c r="J62" s="1" t="n"/>
      <c r="K62" s="22" t="n">
        <v>0.2029032796910107</v>
      </c>
      <c r="L62" s="22" t="n">
        <v>0.1947993646341814</v>
      </c>
      <c r="M62" s="22" t="n">
        <v>0.1858716933083125</v>
      </c>
      <c r="N62" s="22" t="n">
        <v>0.1792476933116073</v>
      </c>
      <c r="O62" s="22" t="n">
        <v>0.174257673323112</v>
      </c>
      <c r="P62" s="1" t="n"/>
    </row>
    <row r="63" ht="14" customHeight="1">
      <c r="A63" s="16" t="n"/>
      <c r="B63" s="16" t="n"/>
      <c r="C63" s="23" t="inlineStr">
        <is>
          <t>Worst</t>
        </is>
      </c>
      <c r="D63" s="16" t="n"/>
      <c r="E63" s="16" t="n"/>
      <c r="F63" s="16" t="n"/>
      <c r="G63" s="16" t="n"/>
      <c r="H63" s="16" t="n"/>
      <c r="I63" s="16" t="n"/>
      <c r="J63" s="16" t="n"/>
      <c r="K63" s="24" t="n">
        <v>0.1841451253695623</v>
      </c>
      <c r="L63" s="24" t="n">
        <v>0.1586231930244067</v>
      </c>
      <c r="M63" s="24" t="n">
        <v>0.1326492130039444</v>
      </c>
      <c r="N63" s="24" t="n">
        <v>0.1105641728078766</v>
      </c>
      <c r="O63" s="24" t="n">
        <v>0.09049394992047137</v>
      </c>
      <c r="P63" s="16" t="n"/>
    </row>
  </sheetData>
  <dataValidations count="1">
    <dataValidation sqref="D5" showDropDown="0" showInputMessage="0" showErrorMessage="0" allowBlank="0" type="list">
      <formula1>"1,2,3"</formula1>
    </dataValidation>
  </dataValidations>
  <printOptions horizontalCentered="1"/>
  <pageMargins left="0.75" right="0.75" top="1" bottom="1" header="0.5" footer="0.5"/>
  <pageSetup orientation="landscape" scale="95"/>
  <headerFooter>
    <oddHeader/>
    <oddFooter>&amp;LPage &amp;P of &amp;N&amp;C&amp;A&amp;R&amp;D&amp;T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2" customWidth="1" min="3" max="3"/>
    <col width="16" customWidth="1" min="4" max="4"/>
    <col width="4" customWidth="1" min="5" max="5"/>
    <col width="12" customWidth="1" min="6" max="6"/>
    <col width="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4" customWidth="1" min="16" max="16"/>
  </cols>
  <sheetData>
    <row r="1">
      <c r="C1" s="8" t="inlineStr">
        <is>
          <t>Family Bank Limited</t>
        </is>
      </c>
      <c r="O1" s="9">
        <f>HYPERLINK("#'Scenarios'!D5","Currently running: "&amp;UPPER(CHOOSE('Scenarios'!$D$5,"Base","Best","Worst"))&amp;" CASE")</f>
        <v/>
      </c>
    </row>
    <row r="2">
      <c r="C2" s="10" t="inlineStr">
        <is>
          <t>Model — Scenario-Switched (fully formula-linked)</t>
        </is>
      </c>
    </row>
    <row r="4" ht="15" customHeight="1">
      <c r="A4" s="78" t="n"/>
      <c r="B4" s="78" t="n"/>
      <c r="C4" s="79" t="inlineStr">
        <is>
          <t>MASTER CHECK</t>
        </is>
      </c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8" t="n"/>
      <c r="O4" s="78" t="n"/>
      <c r="P4" s="78" t="n"/>
    </row>
    <row r="5">
      <c r="A5" s="1" t="n"/>
      <c r="B5" s="1" t="n"/>
      <c r="C5" s="80" t="inlineStr">
        <is>
          <t>Balance Sheet Check (Assets = Liab + Equity)</t>
        </is>
      </c>
      <c r="D5" s="1" t="n"/>
      <c r="E5" s="1" t="n"/>
      <c r="F5" s="1" t="n"/>
      <c r="G5" s="1" t="n"/>
      <c r="H5" s="81">
        <f>IF(ABS(H208)&lt;0.01,"OK","ERROR")</f>
        <v/>
      </c>
      <c r="I5" s="81">
        <f>IF(ABS(I208)&lt;0.01,"OK","ERROR")</f>
        <v/>
      </c>
      <c r="J5" s="81">
        <f>IF(ABS(J208)&lt;0.01,"OK","ERROR")</f>
        <v/>
      </c>
      <c r="K5" s="81">
        <f>IF(ABS(K208)&lt;0.01,"OK","ERROR")</f>
        <v/>
      </c>
      <c r="L5" s="81">
        <f>IF(ABS(L208)&lt;0.01,"OK","ERROR")</f>
        <v/>
      </c>
      <c r="M5" s="81">
        <f>IF(ABS(M208)&lt;0.01,"OK","ERROR")</f>
        <v/>
      </c>
      <c r="N5" s="81">
        <f>IF(ABS(N208)&lt;0.01,"OK","ERROR")</f>
        <v/>
      </c>
      <c r="O5" s="81">
        <f>IF(ABS(O208)&lt;0.01,"OK","ERROR")</f>
        <v/>
      </c>
      <c r="P5" s="1" t="n"/>
    </row>
    <row r="6">
      <c r="A6" s="1" t="n"/>
      <c r="B6" s="1" t="n"/>
      <c r="C6" s="80" t="inlineStr">
        <is>
          <t>Capital Adequacy Check (Total Capital ≥ CBK minimum)</t>
        </is>
      </c>
      <c r="D6" s="1" t="n"/>
      <c r="E6" s="1" t="n"/>
      <c r="F6" s="1" t="n"/>
      <c r="G6" s="1" t="n"/>
      <c r="H6" s="82">
        <f>IF(H234&gt;=Assumptions!$H$131,"OK","ERROR")</f>
        <v/>
      </c>
      <c r="I6" s="82">
        <f>IF(I234&gt;=Assumptions!$H$131,"OK","ERROR")</f>
        <v/>
      </c>
      <c r="J6" s="82">
        <f>IF(J234&gt;=Assumptions!$H$131,"OK","ERROR")</f>
        <v/>
      </c>
      <c r="K6" s="82">
        <f>IF(K234&gt;=Assumptions!$H$131,"OK","ERROR")</f>
        <v/>
      </c>
      <c r="L6" s="82">
        <f>IF(L234&gt;=Assumptions!$H$131,"OK","ERROR")</f>
        <v/>
      </c>
      <c r="M6" s="82">
        <f>IF(M234&gt;=Assumptions!$H$131,"OK","ERROR")</f>
        <v/>
      </c>
      <c r="N6" s="82">
        <f>IF(N234&gt;=Assumptions!$H$131,"OK","ERROR")</f>
        <v/>
      </c>
      <c r="O6" s="82">
        <f>IF(O234&gt;=Assumptions!$H$131,"OK","ERROR")</f>
        <v/>
      </c>
      <c r="P6" s="1" t="n"/>
    </row>
    <row r="7">
      <c r="A7" s="1" t="n"/>
      <c r="B7" s="1" t="n"/>
      <c r="C7" s="80" t="inlineStr">
        <is>
          <t>Liquidity Check (≥ CBK statutory minimum)</t>
        </is>
      </c>
      <c r="D7" s="1" t="n"/>
      <c r="E7" s="1" t="n"/>
      <c r="F7" s="1" t="n"/>
      <c r="G7" s="1" t="n"/>
      <c r="H7" s="82">
        <f>IF(H239&gt;=Assumptions!$H$146,"OK","ERROR")</f>
        <v/>
      </c>
      <c r="I7" s="82">
        <f>IF(I239&gt;=Assumptions!$H$146,"OK","ERROR")</f>
        <v/>
      </c>
      <c r="J7" s="82">
        <f>IF(J239&gt;=Assumptions!$H$146,"OK","ERROR")</f>
        <v/>
      </c>
      <c r="K7" s="82">
        <f>IF(K239&gt;=Assumptions!$H$146,"OK","ERROR")</f>
        <v/>
      </c>
      <c r="L7" s="82">
        <f>IF(L239&gt;=Assumptions!$H$146,"OK","ERROR")</f>
        <v/>
      </c>
      <c r="M7" s="82">
        <f>IF(M239&gt;=Assumptions!$H$146,"OK","ERROR")</f>
        <v/>
      </c>
      <c r="N7" s="82">
        <f>IF(N239&gt;=Assumptions!$H$146,"OK","ERROR")</f>
        <v/>
      </c>
      <c r="O7" s="82">
        <f>IF(O239&gt;=Assumptions!$H$146,"OK","ERROR")</f>
        <v/>
      </c>
      <c r="P7" s="1" t="n"/>
    </row>
    <row r="10" ht="13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5" t="inlineStr">
        <is>
          <t>Actual</t>
        </is>
      </c>
      <c r="J10" s="13" t="n"/>
      <c r="K10" s="13" t="n"/>
      <c r="L10" s="13" t="n"/>
      <c r="M10" s="15" t="inlineStr">
        <is>
          <t>Projected</t>
        </is>
      </c>
      <c r="N10" s="13" t="n"/>
      <c r="O10" s="13" t="n"/>
      <c r="P10" s="13" t="n"/>
    </row>
    <row r="11" ht="14" customHeight="1">
      <c r="A11" s="13" t="n"/>
      <c r="B11" s="13" t="n"/>
      <c r="C11" s="14" t="inlineStr"/>
      <c r="D11" s="13" t="n"/>
      <c r="E11" s="13" t="n"/>
      <c r="F11" s="13" t="n"/>
      <c r="G11" s="13" t="n"/>
      <c r="H11" s="15" t="inlineStr">
        <is>
          <t>2023A</t>
        </is>
      </c>
      <c r="I11" s="15" t="inlineStr">
        <is>
          <t>2024A</t>
        </is>
      </c>
      <c r="J11" s="15" t="inlineStr">
        <is>
          <t>2025A</t>
        </is>
      </c>
      <c r="K11" s="15" t="inlineStr">
        <is>
          <t>2026P</t>
        </is>
      </c>
      <c r="L11" s="15" t="inlineStr">
        <is>
          <t>2027P</t>
        </is>
      </c>
      <c r="M11" s="15" t="inlineStr">
        <is>
          <t>2028P</t>
        </is>
      </c>
      <c r="N11" s="15" t="inlineStr">
        <is>
          <t>2029P</t>
        </is>
      </c>
      <c r="O11" s="15" t="inlineStr">
        <is>
          <t>2030P</t>
        </is>
      </c>
      <c r="P11" s="13" t="n"/>
    </row>
    <row r="12" ht="8" customHeight="1"/>
    <row r="13" ht="15" customHeight="1">
      <c r="A13" s="11" t="n"/>
      <c r="B13" s="11" t="n"/>
      <c r="C13" s="83" t="inlineStr">
        <is>
          <t>LOAN BOOK &amp; IFRS 9 PROVISIONING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</row>
    <row r="14" ht="14" customHeight="1">
      <c r="A14" s="13" t="n"/>
      <c r="B14" s="13" t="n"/>
      <c r="C14" s="14" t="inlineStr"/>
      <c r="D14" s="13" t="n"/>
      <c r="E14" s="13" t="n"/>
      <c r="F14" s="13" t="n"/>
      <c r="G14" s="13" t="n"/>
      <c r="H14" s="15">
        <f>H11</f>
        <v/>
      </c>
      <c r="I14" s="15">
        <f>I11</f>
        <v/>
      </c>
      <c r="J14" s="15">
        <f>J11</f>
        <v/>
      </c>
      <c r="K14" s="15">
        <f>K11</f>
        <v/>
      </c>
      <c r="L14" s="15">
        <f>L11</f>
        <v/>
      </c>
      <c r="M14" s="15">
        <f>M11</f>
        <v/>
      </c>
      <c r="N14" s="15">
        <f>N11</f>
        <v/>
      </c>
      <c r="O14" s="15">
        <f>O11</f>
        <v/>
      </c>
      <c r="P14" s="13" t="n"/>
    </row>
    <row r="15" ht="5" customHeight="1"/>
    <row r="16">
      <c r="C16" s="32" t="inlineStr">
        <is>
          <t>Term Loans</t>
        </is>
      </c>
    </row>
    <row r="17">
      <c r="A17" s="16" t="n"/>
      <c r="B17" s="16" t="n"/>
      <c r="C17" s="23" t="inlineStr">
        <is>
          <t>Gross — Stage 1</t>
        </is>
      </c>
      <c r="D17" s="16" t="n"/>
      <c r="E17" s="16" t="n"/>
      <c r="F17" s="18" t="inlineStr">
        <is>
          <t>(KES MM)</t>
        </is>
      </c>
      <c r="G17" s="16" t="n"/>
      <c r="H17" s="84" t="n">
        <v>61346.247</v>
      </c>
      <c r="I17" s="84" t="n">
        <v>68190.208</v>
      </c>
      <c r="J17" s="84" t="n">
        <v>74732.268</v>
      </c>
      <c r="K17" s="85">
        <f>J17-Assumptions!$H$55*J17+Assumptions!$H$56*J18+Assumptions!$H$50*(J17+J18+J19)+Assumptions!$H$59*J19</f>
        <v/>
      </c>
      <c r="L17" s="85">
        <f>K17-Assumptions!$H$55*K17+Assumptions!$H$56*K18+Assumptions!$H$50*(K17+K18+K19)+Assumptions!$H$59*K19</f>
        <v/>
      </c>
      <c r="M17" s="85">
        <f>L17-Assumptions!$H$55*L17+Assumptions!$H$56*L18+Assumptions!$H$50*(L17+L18+L19)+Assumptions!$H$59*L19</f>
        <v/>
      </c>
      <c r="N17" s="85">
        <f>M17-Assumptions!$H$55*M17+Assumptions!$H$56*M18+Assumptions!$H$50*(M17+M18+M19)+Assumptions!$H$59*M19</f>
        <v/>
      </c>
      <c r="O17" s="85">
        <f>N17-Assumptions!$H$55*N17+Assumptions!$H$56*N18+Assumptions!$H$50*(N17+N18+N19)+Assumptions!$H$59*N19</f>
        <v/>
      </c>
      <c r="P17" s="16" t="n"/>
    </row>
    <row r="18">
      <c r="A18" s="1" t="n"/>
      <c r="B18" s="1" t="n"/>
      <c r="C18" s="5" t="inlineStr">
        <is>
          <t>Gross — Stage 2</t>
        </is>
      </c>
      <c r="D18" s="1" t="n"/>
      <c r="E18" s="1" t="n"/>
      <c r="F18" s="20" t="inlineStr">
        <is>
          <t>(KES MM)</t>
        </is>
      </c>
      <c r="G18" s="1" t="n"/>
      <c r="H18" s="86" t="n">
        <v>3467.725</v>
      </c>
      <c r="I18" s="86" t="n">
        <v>3960.795</v>
      </c>
      <c r="J18" s="86" t="n">
        <v>8355.106</v>
      </c>
      <c r="K18" s="87">
        <f>J18+Assumptions!$H$55*J17-Assumptions!$H$56*J18-Assumptions!$H$57*J18+Assumptions!$H$58*J19</f>
        <v/>
      </c>
      <c r="L18" s="87">
        <f>K18+Assumptions!$H$55*K17-Assumptions!$H$56*K18-Assumptions!$H$57*K18+Assumptions!$H$58*K19</f>
        <v/>
      </c>
      <c r="M18" s="87">
        <f>L18+Assumptions!$H$55*L17-Assumptions!$H$56*L18-Assumptions!$H$57*L18+Assumptions!$H$58*L19</f>
        <v/>
      </c>
      <c r="N18" s="87">
        <f>M18+Assumptions!$H$55*M17-Assumptions!$H$56*M18-Assumptions!$H$57*M18+Assumptions!$H$58*M19</f>
        <v/>
      </c>
      <c r="O18" s="87">
        <f>N18+Assumptions!$H$55*N17-Assumptions!$H$56*N18-Assumptions!$H$57*N18+Assumptions!$H$58*N19</f>
        <v/>
      </c>
      <c r="P18" s="1" t="n"/>
    </row>
    <row r="19">
      <c r="A19" s="16" t="n"/>
      <c r="B19" s="16" t="n"/>
      <c r="C19" s="23" t="inlineStr">
        <is>
          <t>Gross — Stage 3</t>
        </is>
      </c>
      <c r="D19" s="16" t="n"/>
      <c r="E19" s="16" t="n"/>
      <c r="F19" s="18" t="inlineStr">
        <is>
          <t>(KES MM)</t>
        </is>
      </c>
      <c r="G19" s="16" t="n"/>
      <c r="H19" s="84" t="n">
        <v>11130.623</v>
      </c>
      <c r="I19" s="84" t="n">
        <v>9335.77</v>
      </c>
      <c r="J19" s="84" t="n">
        <v>12303.29</v>
      </c>
      <c r="K19" s="85">
        <f>J19+Assumptions!$H$57*J18-Assumptions!$H$58*J19-Assumptions!$H$59*J19</f>
        <v/>
      </c>
      <c r="L19" s="85">
        <f>K19+Assumptions!$H$57*K18-Assumptions!$H$58*K19-Assumptions!$H$59*K19</f>
        <v/>
      </c>
      <c r="M19" s="85">
        <f>L19+Assumptions!$H$57*L18-Assumptions!$H$58*L19-Assumptions!$H$59*L19</f>
        <v/>
      </c>
      <c r="N19" s="85">
        <f>M19+Assumptions!$H$57*M18-Assumptions!$H$58*M19-Assumptions!$H$59*M19</f>
        <v/>
      </c>
      <c r="O19" s="85">
        <f>N19+Assumptions!$H$57*N18-Assumptions!$H$58*N19-Assumptions!$H$59*N19</f>
        <v/>
      </c>
      <c r="P19" s="16" t="n"/>
    </row>
    <row r="20" ht="15" customHeight="1">
      <c r="A20" s="88" t="n"/>
      <c r="B20" s="88" t="n"/>
      <c r="C20" s="89" t="inlineStr">
        <is>
          <t>Total Gross — Term Loans</t>
        </is>
      </c>
      <c r="D20" s="88" t="n"/>
      <c r="E20" s="88" t="n"/>
      <c r="F20" s="88" t="n"/>
      <c r="G20" s="88" t="n"/>
      <c r="H20" s="90">
        <f>SUM(H17:H19)</f>
        <v/>
      </c>
      <c r="I20" s="90">
        <f>SUM(I17:I19)</f>
        <v/>
      </c>
      <c r="J20" s="90">
        <f>SUM(J17:J19)</f>
        <v/>
      </c>
      <c r="K20" s="90">
        <f>SUM(K17:K19)</f>
        <v/>
      </c>
      <c r="L20" s="90">
        <f>SUM(L17:L19)</f>
        <v/>
      </c>
      <c r="M20" s="90">
        <f>SUM(M17:M19)</f>
        <v/>
      </c>
      <c r="N20" s="90">
        <f>SUM(N17:N19)</f>
        <v/>
      </c>
      <c r="O20" s="90">
        <f>SUM(O17:O19)</f>
        <v/>
      </c>
      <c r="P20" s="88" t="n"/>
    </row>
    <row r="21">
      <c r="A21" s="1" t="n"/>
      <c r="B21" s="1" t="n"/>
      <c r="C21" s="5" t="inlineStr">
        <is>
          <t>ECL — Stage 1</t>
        </is>
      </c>
      <c r="D21" s="1" t="n"/>
      <c r="E21" s="1" t="n"/>
      <c r="F21" s="20" t="inlineStr">
        <is>
          <t>(KES MM)</t>
        </is>
      </c>
      <c r="G21" s="1" t="n"/>
      <c r="H21" s="86" t="n">
        <v>856.4059999999999</v>
      </c>
      <c r="I21" s="86" t="n">
        <v>853.147</v>
      </c>
      <c r="J21" s="86" t="n">
        <v>805.7809999999999</v>
      </c>
      <c r="K21" s="87">
        <f>Assumptions!$H$32*Assumptions!$H$75*K17</f>
        <v/>
      </c>
      <c r="L21" s="87">
        <f>Assumptions!$H$32*Assumptions!$H$75*L17</f>
        <v/>
      </c>
      <c r="M21" s="87">
        <f>Assumptions!$H$32*Assumptions!$H$75*M17</f>
        <v/>
      </c>
      <c r="N21" s="87">
        <f>Assumptions!$H$32*Assumptions!$H$75*N17</f>
        <v/>
      </c>
      <c r="O21" s="87">
        <f>Assumptions!$H$32*Assumptions!$H$75*O17</f>
        <v/>
      </c>
      <c r="P21" s="1" t="n"/>
    </row>
    <row r="22">
      <c r="A22" s="16" t="n"/>
      <c r="B22" s="16" t="n"/>
      <c r="C22" s="23" t="inlineStr">
        <is>
          <t>ECL — Stage 2</t>
        </is>
      </c>
      <c r="D22" s="16" t="n"/>
      <c r="E22" s="16" t="n"/>
      <c r="F22" s="18" t="inlineStr">
        <is>
          <t>(KES MM)</t>
        </is>
      </c>
      <c r="G22" s="16" t="n"/>
      <c r="H22" s="84" t="n">
        <v>337.131</v>
      </c>
      <c r="I22" s="84" t="n">
        <v>429.87</v>
      </c>
      <c r="J22" s="84" t="n">
        <v>672.013</v>
      </c>
      <c r="K22" s="85">
        <f>Assumptions!$H$38*Assumptions!$H$75*K18</f>
        <v/>
      </c>
      <c r="L22" s="85">
        <f>Assumptions!$H$38*Assumptions!$H$75*L18</f>
        <v/>
      </c>
      <c r="M22" s="85">
        <f>Assumptions!$H$38*Assumptions!$H$75*M18</f>
        <v/>
      </c>
      <c r="N22" s="85">
        <f>Assumptions!$H$38*Assumptions!$H$75*N18</f>
        <v/>
      </c>
      <c r="O22" s="85">
        <f>Assumptions!$H$38*Assumptions!$H$75*O18</f>
        <v/>
      </c>
      <c r="P22" s="16" t="n"/>
    </row>
    <row r="23">
      <c r="A23" s="1" t="n"/>
      <c r="B23" s="1" t="n"/>
      <c r="C23" s="5" t="inlineStr">
        <is>
          <t>ECL — Stage 3</t>
        </is>
      </c>
      <c r="D23" s="1" t="n"/>
      <c r="E23" s="1" t="n"/>
      <c r="F23" s="20" t="inlineStr">
        <is>
          <t>(KES MM)</t>
        </is>
      </c>
      <c r="G23" s="1" t="n"/>
      <c r="H23" s="86" t="n">
        <v>3807.821</v>
      </c>
      <c r="I23" s="86" t="n">
        <v>4364.636</v>
      </c>
      <c r="J23" s="86" t="n">
        <v>5992.192</v>
      </c>
      <c r="K23" s="87">
        <f>Assumptions!$H$44*Assumptions!$H$75*K19</f>
        <v/>
      </c>
      <c r="L23" s="87">
        <f>Assumptions!$H$44*Assumptions!$H$75*L19</f>
        <v/>
      </c>
      <c r="M23" s="87">
        <f>Assumptions!$H$44*Assumptions!$H$75*M19</f>
        <v/>
      </c>
      <c r="N23" s="87">
        <f>Assumptions!$H$44*Assumptions!$H$75*N19</f>
        <v/>
      </c>
      <c r="O23" s="87">
        <f>Assumptions!$H$44*Assumptions!$H$75*O19</f>
        <v/>
      </c>
      <c r="P23" s="1" t="n"/>
    </row>
    <row r="24" ht="15" customHeight="1">
      <c r="A24" s="88" t="n"/>
      <c r="B24" s="88" t="n"/>
      <c r="C24" s="89" t="inlineStr">
        <is>
          <t>Total ECL — Term Loans</t>
        </is>
      </c>
      <c r="D24" s="88" t="n"/>
      <c r="E24" s="88" t="n"/>
      <c r="F24" s="88" t="n"/>
      <c r="G24" s="88" t="n"/>
      <c r="H24" s="90">
        <f>SUM(H21:H23)</f>
        <v/>
      </c>
      <c r="I24" s="90">
        <f>SUM(I21:I23)</f>
        <v/>
      </c>
      <c r="J24" s="90">
        <f>SUM(J21:J23)</f>
        <v/>
      </c>
      <c r="K24" s="90">
        <f>SUM(K21:K23)</f>
        <v/>
      </c>
      <c r="L24" s="90">
        <f>SUM(L21:L23)</f>
        <v/>
      </c>
      <c r="M24" s="90">
        <f>SUM(M21:M23)</f>
        <v/>
      </c>
      <c r="N24" s="90">
        <f>SUM(N21:N23)</f>
        <v/>
      </c>
      <c r="O24" s="90">
        <f>SUM(O21:O23)</f>
        <v/>
      </c>
      <c r="P24" s="88" t="n"/>
    </row>
    <row r="25">
      <c r="A25" s="1" t="n"/>
      <c r="B25" s="1" t="n"/>
      <c r="C25" s="80" t="inlineStr">
        <is>
          <t>Net Loans — Term Loans</t>
        </is>
      </c>
      <c r="D25" s="1" t="n"/>
      <c r="E25" s="1" t="n"/>
      <c r="F25" s="20" t="inlineStr">
        <is>
          <t>(KES MM)</t>
        </is>
      </c>
      <c r="G25" s="1" t="n"/>
      <c r="H25" s="81">
        <f>H20-H24</f>
        <v/>
      </c>
      <c r="I25" s="81">
        <f>I20-I24</f>
        <v/>
      </c>
      <c r="J25" s="81">
        <f>J20-J24</f>
        <v/>
      </c>
      <c r="K25" s="81">
        <f>K20-K24</f>
        <v/>
      </c>
      <c r="L25" s="81">
        <f>L20-L24</f>
        <v/>
      </c>
      <c r="M25" s="81">
        <f>M20-M24</f>
        <v/>
      </c>
      <c r="N25" s="81">
        <f>N20-N24</f>
        <v/>
      </c>
      <c r="O25" s="81">
        <f>O20-O24</f>
        <v/>
      </c>
      <c r="P25" s="1" t="n"/>
    </row>
    <row r="26">
      <c r="A26" s="1" t="n"/>
      <c r="B26" s="1" t="n"/>
      <c r="C26" s="5" t="inlineStr">
        <is>
          <t>Provision Charge — Term Loans</t>
        </is>
      </c>
      <c r="D26" s="1" t="n"/>
      <c r="E26" s="1" t="n"/>
      <c r="F26" s="20" t="inlineStr">
        <is>
          <t>(KES MM)</t>
        </is>
      </c>
      <c r="G26" s="1" t="n"/>
      <c r="H26" s="86" t="n"/>
      <c r="I26" s="21">
        <f>I24-H24</f>
        <v/>
      </c>
      <c r="J26" s="21">
        <f>J24-I24</f>
        <v/>
      </c>
      <c r="K26" s="21">
        <f>K24-J24</f>
        <v/>
      </c>
      <c r="L26" s="21">
        <f>L24-K24</f>
        <v/>
      </c>
      <c r="M26" s="21">
        <f>M24-L24</f>
        <v/>
      </c>
      <c r="N26" s="21">
        <f>N24-M24</f>
        <v/>
      </c>
      <c r="O26" s="21">
        <f>O24-N24</f>
        <v/>
      </c>
      <c r="P26" s="1" t="n"/>
    </row>
    <row r="27" ht="5" customHeight="1"/>
    <row r="28">
      <c r="C28" s="32" t="inlineStr">
        <is>
          <t>Mortgage</t>
        </is>
      </c>
    </row>
    <row r="29">
      <c r="A29" s="16" t="n"/>
      <c r="B29" s="16" t="n"/>
      <c r="C29" s="23" t="inlineStr">
        <is>
          <t>Gross — Stage 1</t>
        </is>
      </c>
      <c r="D29" s="16" t="n"/>
      <c r="E29" s="16" t="n"/>
      <c r="F29" s="18" t="inlineStr">
        <is>
          <t>(KES MM)</t>
        </is>
      </c>
      <c r="G29" s="16" t="n"/>
      <c r="H29" s="84" t="n">
        <v>10183.039</v>
      </c>
      <c r="I29" s="84" t="n">
        <v>11922.527</v>
      </c>
      <c r="J29" s="84" t="n">
        <v>12946.847</v>
      </c>
      <c r="K29" s="85">
        <f>J29-Assumptions!$I$55*J29+Assumptions!$I$56*J30+Assumptions!$I$50*(J29+J30+J31)+Assumptions!$I$59*J31</f>
        <v/>
      </c>
      <c r="L29" s="85">
        <f>K29-Assumptions!$I$55*K29+Assumptions!$I$56*K30+Assumptions!$I$50*(K29+K30+K31)+Assumptions!$I$59*K31</f>
        <v/>
      </c>
      <c r="M29" s="85">
        <f>L29-Assumptions!$I$55*L29+Assumptions!$I$56*L30+Assumptions!$I$50*(L29+L30+L31)+Assumptions!$I$59*L31</f>
        <v/>
      </c>
      <c r="N29" s="85">
        <f>M29-Assumptions!$I$55*M29+Assumptions!$I$56*M30+Assumptions!$I$50*(M29+M30+M31)+Assumptions!$I$59*M31</f>
        <v/>
      </c>
      <c r="O29" s="85">
        <f>N29-Assumptions!$I$55*N29+Assumptions!$I$56*N30+Assumptions!$I$50*(N29+N30+N31)+Assumptions!$I$59*N31</f>
        <v/>
      </c>
      <c r="P29" s="16" t="n"/>
    </row>
    <row r="30">
      <c r="A30" s="1" t="n"/>
      <c r="B30" s="1" t="n"/>
      <c r="C30" s="5" t="inlineStr">
        <is>
          <t>Gross — Stage 2</t>
        </is>
      </c>
      <c r="D30" s="1" t="n"/>
      <c r="E30" s="1" t="n"/>
      <c r="F30" s="20" t="inlineStr">
        <is>
          <t>(KES MM)</t>
        </is>
      </c>
      <c r="G30" s="1" t="n"/>
      <c r="H30" s="86" t="n">
        <v>706.859</v>
      </c>
      <c r="I30" s="86" t="n">
        <v>790.821</v>
      </c>
      <c r="J30" s="86" t="n">
        <v>1580.111</v>
      </c>
      <c r="K30" s="87">
        <f>J30+Assumptions!$I$55*J29-Assumptions!$I$56*J30-Assumptions!$I$57*J30+Assumptions!$I$58*J31</f>
        <v/>
      </c>
      <c r="L30" s="87">
        <f>K30+Assumptions!$I$55*K29-Assumptions!$I$56*K30-Assumptions!$I$57*K30+Assumptions!$I$58*K31</f>
        <v/>
      </c>
      <c r="M30" s="87">
        <f>L30+Assumptions!$I$55*L29-Assumptions!$I$56*L30-Assumptions!$I$57*L30+Assumptions!$I$58*L31</f>
        <v/>
      </c>
      <c r="N30" s="87">
        <f>M30+Assumptions!$I$55*M29-Assumptions!$I$56*M30-Assumptions!$I$57*M30+Assumptions!$I$58*M31</f>
        <v/>
      </c>
      <c r="O30" s="87">
        <f>N30+Assumptions!$I$55*N29-Assumptions!$I$56*N30-Assumptions!$I$57*N30+Assumptions!$I$58*N31</f>
        <v/>
      </c>
      <c r="P30" s="1" t="n"/>
    </row>
    <row r="31">
      <c r="A31" s="16" t="n"/>
      <c r="B31" s="16" t="n"/>
      <c r="C31" s="23" t="inlineStr">
        <is>
          <t>Gross — Stage 3</t>
        </is>
      </c>
      <c r="D31" s="16" t="n"/>
      <c r="E31" s="16" t="n"/>
      <c r="F31" s="18" t="inlineStr">
        <is>
          <t>(KES MM)</t>
        </is>
      </c>
      <c r="G31" s="16" t="n"/>
      <c r="H31" s="84" t="n">
        <v>2156.329</v>
      </c>
      <c r="I31" s="84" t="n">
        <v>1704.57</v>
      </c>
      <c r="J31" s="84" t="n">
        <v>1395.34</v>
      </c>
      <c r="K31" s="85">
        <f>J31+Assumptions!$I$57*J30-Assumptions!$I$58*J31-Assumptions!$I$59*J31</f>
        <v/>
      </c>
      <c r="L31" s="85">
        <f>K31+Assumptions!$I$57*K30-Assumptions!$I$58*K31-Assumptions!$I$59*K31</f>
        <v/>
      </c>
      <c r="M31" s="85">
        <f>L31+Assumptions!$I$57*L30-Assumptions!$I$58*L31-Assumptions!$I$59*L31</f>
        <v/>
      </c>
      <c r="N31" s="85">
        <f>M31+Assumptions!$I$57*M30-Assumptions!$I$58*M31-Assumptions!$I$59*M31</f>
        <v/>
      </c>
      <c r="O31" s="85">
        <f>N31+Assumptions!$I$57*N30-Assumptions!$I$58*N31-Assumptions!$I$59*N31</f>
        <v/>
      </c>
      <c r="P31" s="16" t="n"/>
    </row>
    <row r="32" ht="15" customHeight="1">
      <c r="A32" s="88" t="n"/>
      <c r="B32" s="88" t="n"/>
      <c r="C32" s="89" t="inlineStr">
        <is>
          <t>Total Gross — Mortgage</t>
        </is>
      </c>
      <c r="D32" s="88" t="n"/>
      <c r="E32" s="88" t="n"/>
      <c r="F32" s="88" t="n"/>
      <c r="G32" s="88" t="n"/>
      <c r="H32" s="90">
        <f>SUM(H29:H31)</f>
        <v/>
      </c>
      <c r="I32" s="90">
        <f>SUM(I29:I31)</f>
        <v/>
      </c>
      <c r="J32" s="90">
        <f>SUM(J29:J31)</f>
        <v/>
      </c>
      <c r="K32" s="90">
        <f>SUM(K29:K31)</f>
        <v/>
      </c>
      <c r="L32" s="90">
        <f>SUM(L29:L31)</f>
        <v/>
      </c>
      <c r="M32" s="90">
        <f>SUM(M29:M31)</f>
        <v/>
      </c>
      <c r="N32" s="90">
        <f>SUM(N29:N31)</f>
        <v/>
      </c>
      <c r="O32" s="90">
        <f>SUM(O29:O31)</f>
        <v/>
      </c>
      <c r="P32" s="88" t="n"/>
    </row>
    <row r="33">
      <c r="A33" s="1" t="n"/>
      <c r="B33" s="1" t="n"/>
      <c r="C33" s="5" t="inlineStr">
        <is>
          <t>ECL — Stage 1</t>
        </is>
      </c>
      <c r="D33" s="1" t="n"/>
      <c r="E33" s="1" t="n"/>
      <c r="F33" s="20" t="inlineStr">
        <is>
          <t>(KES MM)</t>
        </is>
      </c>
      <c r="G33" s="1" t="n"/>
      <c r="H33" s="86" t="n">
        <v>14.645</v>
      </c>
      <c r="I33" s="86" t="n">
        <v>29.237</v>
      </c>
      <c r="J33" s="86" t="n">
        <v>13.487</v>
      </c>
      <c r="K33" s="87">
        <f>Assumptions!$I$32*Assumptions!$H$75*K29</f>
        <v/>
      </c>
      <c r="L33" s="87">
        <f>Assumptions!$I$32*Assumptions!$H$75*L29</f>
        <v/>
      </c>
      <c r="M33" s="87">
        <f>Assumptions!$I$32*Assumptions!$H$75*M29</f>
        <v/>
      </c>
      <c r="N33" s="87">
        <f>Assumptions!$I$32*Assumptions!$H$75*N29</f>
        <v/>
      </c>
      <c r="O33" s="87">
        <f>Assumptions!$I$32*Assumptions!$H$75*O29</f>
        <v/>
      </c>
      <c r="P33" s="1" t="n"/>
    </row>
    <row r="34">
      <c r="A34" s="16" t="n"/>
      <c r="B34" s="16" t="n"/>
      <c r="C34" s="23" t="inlineStr">
        <is>
          <t>ECL — Stage 2</t>
        </is>
      </c>
      <c r="D34" s="16" t="n"/>
      <c r="E34" s="16" t="n"/>
      <c r="F34" s="18" t="inlineStr">
        <is>
          <t>(KES MM)</t>
        </is>
      </c>
      <c r="G34" s="16" t="n"/>
      <c r="H34" s="84" t="n">
        <v>30.865</v>
      </c>
      <c r="I34" s="84" t="n">
        <v>40.763</v>
      </c>
      <c r="J34" s="84" t="n">
        <v>44.337</v>
      </c>
      <c r="K34" s="85">
        <f>Assumptions!$I$38*Assumptions!$H$75*K30</f>
        <v/>
      </c>
      <c r="L34" s="85">
        <f>Assumptions!$I$38*Assumptions!$H$75*L30</f>
        <v/>
      </c>
      <c r="M34" s="85">
        <f>Assumptions!$I$38*Assumptions!$H$75*M30</f>
        <v/>
      </c>
      <c r="N34" s="85">
        <f>Assumptions!$I$38*Assumptions!$H$75*N30</f>
        <v/>
      </c>
      <c r="O34" s="85">
        <f>Assumptions!$I$38*Assumptions!$H$75*O30</f>
        <v/>
      </c>
      <c r="P34" s="16" t="n"/>
    </row>
    <row r="35">
      <c r="A35" s="1" t="n"/>
      <c r="B35" s="1" t="n"/>
      <c r="C35" s="5" t="inlineStr">
        <is>
          <t>ECL — Stage 3</t>
        </is>
      </c>
      <c r="D35" s="1" t="n"/>
      <c r="E35" s="1" t="n"/>
      <c r="F35" s="20" t="inlineStr">
        <is>
          <t>(KES MM)</t>
        </is>
      </c>
      <c r="G35" s="1" t="n"/>
      <c r="H35" s="86" t="n">
        <v>119.874</v>
      </c>
      <c r="I35" s="86" t="n">
        <v>138.613</v>
      </c>
      <c r="J35" s="86" t="n">
        <v>202.602</v>
      </c>
      <c r="K35" s="87">
        <f>Assumptions!$I$44*Assumptions!$H$75*K31</f>
        <v/>
      </c>
      <c r="L35" s="87">
        <f>Assumptions!$I$44*Assumptions!$H$75*L31</f>
        <v/>
      </c>
      <c r="M35" s="87">
        <f>Assumptions!$I$44*Assumptions!$H$75*M31</f>
        <v/>
      </c>
      <c r="N35" s="87">
        <f>Assumptions!$I$44*Assumptions!$H$75*N31</f>
        <v/>
      </c>
      <c r="O35" s="87">
        <f>Assumptions!$I$44*Assumptions!$H$75*O31</f>
        <v/>
      </c>
      <c r="P35" s="1" t="n"/>
    </row>
    <row r="36" ht="15" customHeight="1">
      <c r="A36" s="88" t="n"/>
      <c r="B36" s="88" t="n"/>
      <c r="C36" s="89" t="inlineStr">
        <is>
          <t>Total ECL — Mortgage</t>
        </is>
      </c>
      <c r="D36" s="88" t="n"/>
      <c r="E36" s="88" t="n"/>
      <c r="F36" s="88" t="n"/>
      <c r="G36" s="88" t="n"/>
      <c r="H36" s="90">
        <f>SUM(H33:H35)</f>
        <v/>
      </c>
      <c r="I36" s="90">
        <f>SUM(I33:I35)</f>
        <v/>
      </c>
      <c r="J36" s="90">
        <f>SUM(J33:J35)</f>
        <v/>
      </c>
      <c r="K36" s="90">
        <f>SUM(K33:K35)</f>
        <v/>
      </c>
      <c r="L36" s="90">
        <f>SUM(L33:L35)</f>
        <v/>
      </c>
      <c r="M36" s="90">
        <f>SUM(M33:M35)</f>
        <v/>
      </c>
      <c r="N36" s="90">
        <f>SUM(N33:N35)</f>
        <v/>
      </c>
      <c r="O36" s="90">
        <f>SUM(O33:O35)</f>
        <v/>
      </c>
      <c r="P36" s="88" t="n"/>
    </row>
    <row r="37">
      <c r="A37" s="1" t="n"/>
      <c r="B37" s="1" t="n"/>
      <c r="C37" s="80" t="inlineStr">
        <is>
          <t>Net Loans — Mortgage</t>
        </is>
      </c>
      <c r="D37" s="1" t="n"/>
      <c r="E37" s="1" t="n"/>
      <c r="F37" s="20" t="inlineStr">
        <is>
          <t>(KES MM)</t>
        </is>
      </c>
      <c r="G37" s="1" t="n"/>
      <c r="H37" s="81">
        <f>H32-H36</f>
        <v/>
      </c>
      <c r="I37" s="81">
        <f>I32-I36</f>
        <v/>
      </c>
      <c r="J37" s="81">
        <f>J32-J36</f>
        <v/>
      </c>
      <c r="K37" s="81">
        <f>K32-K36</f>
        <v/>
      </c>
      <c r="L37" s="81">
        <f>L32-L36</f>
        <v/>
      </c>
      <c r="M37" s="81">
        <f>M32-M36</f>
        <v/>
      </c>
      <c r="N37" s="81">
        <f>N32-N36</f>
        <v/>
      </c>
      <c r="O37" s="81">
        <f>O32-O36</f>
        <v/>
      </c>
      <c r="P37" s="1" t="n"/>
    </row>
    <row r="38">
      <c r="A38" s="1" t="n"/>
      <c r="B38" s="1" t="n"/>
      <c r="C38" s="5" t="inlineStr">
        <is>
          <t>Provision Charge — Mortgage</t>
        </is>
      </c>
      <c r="D38" s="1" t="n"/>
      <c r="E38" s="1" t="n"/>
      <c r="F38" s="20" t="inlineStr">
        <is>
          <t>(KES MM)</t>
        </is>
      </c>
      <c r="G38" s="1" t="n"/>
      <c r="H38" s="86" t="n"/>
      <c r="I38" s="21">
        <f>I36-H36</f>
        <v/>
      </c>
      <c r="J38" s="21">
        <f>J36-I36</f>
        <v/>
      </c>
      <c r="K38" s="21">
        <f>K36-J36</f>
        <v/>
      </c>
      <c r="L38" s="21">
        <f>L36-K36</f>
        <v/>
      </c>
      <c r="M38" s="21">
        <f>M36-L36</f>
        <v/>
      </c>
      <c r="N38" s="21">
        <f>N36-M36</f>
        <v/>
      </c>
      <c r="O38" s="21">
        <f>O36-N36</f>
        <v/>
      </c>
      <c r="P38" s="1" t="n"/>
    </row>
    <row r="39" ht="5" customHeight="1"/>
    <row r="40">
      <c r="C40" s="32" t="inlineStr">
        <is>
          <t>Overdraft &amp; Credit Cards</t>
        </is>
      </c>
    </row>
    <row r="41">
      <c r="A41" s="16" t="n"/>
      <c r="B41" s="16" t="n"/>
      <c r="C41" s="23" t="inlineStr">
        <is>
          <t>Gross — Stage 1</t>
        </is>
      </c>
      <c r="D41" s="16" t="n"/>
      <c r="E41" s="16" t="n"/>
      <c r="F41" s="18" t="inlineStr">
        <is>
          <t>(KES MM)</t>
        </is>
      </c>
      <c r="G41" s="16" t="n"/>
      <c r="H41" s="84" t="n">
        <v>2053.586</v>
      </c>
      <c r="I41" s="84" t="n">
        <v>2032.539</v>
      </c>
      <c r="J41" s="84" t="n">
        <v>1506.935</v>
      </c>
      <c r="K41" s="85">
        <f>J41-Assumptions!$J$55*J41+Assumptions!$J$56*J42+Assumptions!$J$50*(J41+J42+J43)+Assumptions!$J$59*J43</f>
        <v/>
      </c>
      <c r="L41" s="85">
        <f>K41-Assumptions!$J$55*K41+Assumptions!$J$56*K42+Assumptions!$J$50*(K41+K42+K43)+Assumptions!$J$59*K43</f>
        <v/>
      </c>
      <c r="M41" s="85">
        <f>L41-Assumptions!$J$55*L41+Assumptions!$J$56*L42+Assumptions!$J$50*(L41+L42+L43)+Assumptions!$J$59*L43</f>
        <v/>
      </c>
      <c r="N41" s="85">
        <f>M41-Assumptions!$J$55*M41+Assumptions!$J$56*M42+Assumptions!$J$50*(M41+M42+M43)+Assumptions!$J$59*M43</f>
        <v/>
      </c>
      <c r="O41" s="85">
        <f>N41-Assumptions!$J$55*N41+Assumptions!$J$56*N42+Assumptions!$J$50*(N41+N42+N43)+Assumptions!$J$59*N43</f>
        <v/>
      </c>
      <c r="P41" s="16" t="n"/>
    </row>
    <row r="42">
      <c r="A42" s="1" t="n"/>
      <c r="B42" s="1" t="n"/>
      <c r="C42" s="5" t="inlineStr">
        <is>
          <t>Gross — Stage 2</t>
        </is>
      </c>
      <c r="D42" s="1" t="n"/>
      <c r="E42" s="1" t="n"/>
      <c r="F42" s="20" t="inlineStr">
        <is>
          <t>(KES MM)</t>
        </is>
      </c>
      <c r="G42" s="1" t="n"/>
      <c r="H42" s="86" t="n">
        <v>411.914</v>
      </c>
      <c r="I42" s="86" t="n">
        <v>136.036</v>
      </c>
      <c r="J42" s="86" t="n">
        <v>461.631</v>
      </c>
      <c r="K42" s="87">
        <f>J42+Assumptions!$J$55*J41-Assumptions!$J$56*J42-Assumptions!$J$57*J42+Assumptions!$J$58*J43</f>
        <v/>
      </c>
      <c r="L42" s="87">
        <f>K42+Assumptions!$J$55*K41-Assumptions!$J$56*K42-Assumptions!$J$57*K42+Assumptions!$J$58*K43</f>
        <v/>
      </c>
      <c r="M42" s="87">
        <f>L42+Assumptions!$J$55*L41-Assumptions!$J$56*L42-Assumptions!$J$57*L42+Assumptions!$J$58*L43</f>
        <v/>
      </c>
      <c r="N42" s="87">
        <f>M42+Assumptions!$J$55*M41-Assumptions!$J$56*M42-Assumptions!$J$57*M42+Assumptions!$J$58*M43</f>
        <v/>
      </c>
      <c r="O42" s="87">
        <f>N42+Assumptions!$J$55*N41-Assumptions!$J$56*N42-Assumptions!$J$57*N42+Assumptions!$J$58*N43</f>
        <v/>
      </c>
      <c r="P42" s="1" t="n"/>
    </row>
    <row r="43">
      <c r="A43" s="16" t="n"/>
      <c r="B43" s="16" t="n"/>
      <c r="C43" s="23" t="inlineStr">
        <is>
          <t>Gross — Stage 3</t>
        </is>
      </c>
      <c r="D43" s="16" t="n"/>
      <c r="E43" s="16" t="n"/>
      <c r="F43" s="18" t="inlineStr">
        <is>
          <t>(KES MM)</t>
        </is>
      </c>
      <c r="G43" s="16" t="n"/>
      <c r="H43" s="84" t="n">
        <v>1122.155</v>
      </c>
      <c r="I43" s="84" t="n">
        <v>1208.13</v>
      </c>
      <c r="J43" s="84" t="n">
        <v>638.333</v>
      </c>
      <c r="K43" s="85">
        <f>J43+Assumptions!$J$57*J42-Assumptions!$J$58*J43-Assumptions!$J$59*J43</f>
        <v/>
      </c>
      <c r="L43" s="85">
        <f>K43+Assumptions!$J$57*K42-Assumptions!$J$58*K43-Assumptions!$J$59*K43</f>
        <v/>
      </c>
      <c r="M43" s="85">
        <f>L43+Assumptions!$J$57*L42-Assumptions!$J$58*L43-Assumptions!$J$59*L43</f>
        <v/>
      </c>
      <c r="N43" s="85">
        <f>M43+Assumptions!$J$57*M42-Assumptions!$J$58*M43-Assumptions!$J$59*M43</f>
        <v/>
      </c>
      <c r="O43" s="85">
        <f>N43+Assumptions!$J$57*N42-Assumptions!$J$58*N43-Assumptions!$J$59*N43</f>
        <v/>
      </c>
      <c r="P43" s="16" t="n"/>
    </row>
    <row r="44" ht="15" customHeight="1">
      <c r="A44" s="88" t="n"/>
      <c r="B44" s="88" t="n"/>
      <c r="C44" s="89" t="inlineStr">
        <is>
          <t>Total Gross — Overdraft &amp; Credit Cards</t>
        </is>
      </c>
      <c r="D44" s="88" t="n"/>
      <c r="E44" s="88" t="n"/>
      <c r="F44" s="88" t="n"/>
      <c r="G44" s="88" t="n"/>
      <c r="H44" s="90">
        <f>SUM(H41:H43)</f>
        <v/>
      </c>
      <c r="I44" s="90">
        <f>SUM(I41:I43)</f>
        <v/>
      </c>
      <c r="J44" s="90">
        <f>SUM(J41:J43)</f>
        <v/>
      </c>
      <c r="K44" s="90">
        <f>SUM(K41:K43)</f>
        <v/>
      </c>
      <c r="L44" s="90">
        <f>SUM(L41:L43)</f>
        <v/>
      </c>
      <c r="M44" s="90">
        <f>SUM(M41:M43)</f>
        <v/>
      </c>
      <c r="N44" s="90">
        <f>SUM(N41:N43)</f>
        <v/>
      </c>
      <c r="O44" s="90">
        <f>SUM(O41:O43)</f>
        <v/>
      </c>
      <c r="P44" s="88" t="n"/>
    </row>
    <row r="45">
      <c r="A45" s="1" t="n"/>
      <c r="B45" s="1" t="n"/>
      <c r="C45" s="5" t="inlineStr">
        <is>
          <t>ECL — Stage 1</t>
        </is>
      </c>
      <c r="D45" s="1" t="n"/>
      <c r="E45" s="1" t="n"/>
      <c r="F45" s="20" t="inlineStr">
        <is>
          <t>(KES MM)</t>
        </is>
      </c>
      <c r="G45" s="1" t="n"/>
      <c r="H45" s="86" t="n">
        <v>17.823</v>
      </c>
      <c r="I45" s="86" t="n">
        <v>15.484</v>
      </c>
      <c r="J45" s="86" t="n">
        <v>5.971</v>
      </c>
      <c r="K45" s="87">
        <f>Assumptions!$J$32*Assumptions!$H$75*K41</f>
        <v/>
      </c>
      <c r="L45" s="87">
        <f>Assumptions!$J$32*Assumptions!$H$75*L41</f>
        <v/>
      </c>
      <c r="M45" s="87">
        <f>Assumptions!$J$32*Assumptions!$H$75*M41</f>
        <v/>
      </c>
      <c r="N45" s="87">
        <f>Assumptions!$J$32*Assumptions!$H$75*N41</f>
        <v/>
      </c>
      <c r="O45" s="87">
        <f>Assumptions!$J$32*Assumptions!$H$75*O41</f>
        <v/>
      </c>
      <c r="P45" s="1" t="n"/>
    </row>
    <row r="46">
      <c r="A46" s="16" t="n"/>
      <c r="B46" s="16" t="n"/>
      <c r="C46" s="23" t="inlineStr">
        <is>
          <t>ECL — Stage 2</t>
        </is>
      </c>
      <c r="D46" s="16" t="n"/>
      <c r="E46" s="16" t="n"/>
      <c r="F46" s="18" t="inlineStr">
        <is>
          <t>(KES MM)</t>
        </is>
      </c>
      <c r="G46" s="16" t="n"/>
      <c r="H46" s="84" t="n">
        <v>26.92</v>
      </c>
      <c r="I46" s="84" t="n">
        <v>12.963</v>
      </c>
      <c r="J46" s="84" t="n">
        <v>27.542</v>
      </c>
      <c r="K46" s="85">
        <f>Assumptions!$J$38*Assumptions!$H$75*K42</f>
        <v/>
      </c>
      <c r="L46" s="85">
        <f>Assumptions!$J$38*Assumptions!$H$75*L42</f>
        <v/>
      </c>
      <c r="M46" s="85">
        <f>Assumptions!$J$38*Assumptions!$H$75*M42</f>
        <v/>
      </c>
      <c r="N46" s="85">
        <f>Assumptions!$J$38*Assumptions!$H$75*N42</f>
        <v/>
      </c>
      <c r="O46" s="85">
        <f>Assumptions!$J$38*Assumptions!$H$75*O42</f>
        <v/>
      </c>
      <c r="P46" s="16" t="n"/>
    </row>
    <row r="47">
      <c r="A47" s="1" t="n"/>
      <c r="B47" s="1" t="n"/>
      <c r="C47" s="5" t="inlineStr">
        <is>
          <t>ECL — Stage 3</t>
        </is>
      </c>
      <c r="D47" s="1" t="n"/>
      <c r="E47" s="1" t="n"/>
      <c r="F47" s="20" t="inlineStr">
        <is>
          <t>(KES MM)</t>
        </is>
      </c>
      <c r="G47" s="1" t="n"/>
      <c r="H47" s="86" t="n">
        <v>445.633</v>
      </c>
      <c r="I47" s="86" t="n">
        <v>488.118</v>
      </c>
      <c r="J47" s="86" t="n">
        <v>257.024</v>
      </c>
      <c r="K47" s="87">
        <f>Assumptions!$J$44*Assumptions!$H$75*K43</f>
        <v/>
      </c>
      <c r="L47" s="87">
        <f>Assumptions!$J$44*Assumptions!$H$75*L43</f>
        <v/>
      </c>
      <c r="M47" s="87">
        <f>Assumptions!$J$44*Assumptions!$H$75*M43</f>
        <v/>
      </c>
      <c r="N47" s="87">
        <f>Assumptions!$J$44*Assumptions!$H$75*N43</f>
        <v/>
      </c>
      <c r="O47" s="87">
        <f>Assumptions!$J$44*Assumptions!$H$75*O43</f>
        <v/>
      </c>
      <c r="P47" s="1" t="n"/>
    </row>
    <row r="48" ht="15" customHeight="1">
      <c r="A48" s="88" t="n"/>
      <c r="B48" s="88" t="n"/>
      <c r="C48" s="89" t="inlineStr">
        <is>
          <t>Total ECL — Overdraft &amp; Credit Cards</t>
        </is>
      </c>
      <c r="D48" s="88" t="n"/>
      <c r="E48" s="88" t="n"/>
      <c r="F48" s="88" t="n"/>
      <c r="G48" s="88" t="n"/>
      <c r="H48" s="90">
        <f>SUM(H45:H47)</f>
        <v/>
      </c>
      <c r="I48" s="90">
        <f>SUM(I45:I47)</f>
        <v/>
      </c>
      <c r="J48" s="90">
        <f>SUM(J45:J47)</f>
        <v/>
      </c>
      <c r="K48" s="90">
        <f>SUM(K45:K47)</f>
        <v/>
      </c>
      <c r="L48" s="90">
        <f>SUM(L45:L47)</f>
        <v/>
      </c>
      <c r="M48" s="90">
        <f>SUM(M45:M47)</f>
        <v/>
      </c>
      <c r="N48" s="90">
        <f>SUM(N45:N47)</f>
        <v/>
      </c>
      <c r="O48" s="90">
        <f>SUM(O45:O47)</f>
        <v/>
      </c>
      <c r="P48" s="88" t="n"/>
    </row>
    <row r="49">
      <c r="A49" s="1" t="n"/>
      <c r="B49" s="1" t="n"/>
      <c r="C49" s="80" t="inlineStr">
        <is>
          <t>Net Loans — Overdraft &amp; Credit Cards</t>
        </is>
      </c>
      <c r="D49" s="1" t="n"/>
      <c r="E49" s="1" t="n"/>
      <c r="F49" s="20" t="inlineStr">
        <is>
          <t>(KES MM)</t>
        </is>
      </c>
      <c r="G49" s="1" t="n"/>
      <c r="H49" s="81">
        <f>H44-H48</f>
        <v/>
      </c>
      <c r="I49" s="81">
        <f>I44-I48</f>
        <v/>
      </c>
      <c r="J49" s="81">
        <f>J44-J48</f>
        <v/>
      </c>
      <c r="K49" s="81">
        <f>K44-K48</f>
        <v/>
      </c>
      <c r="L49" s="81">
        <f>L44-L48</f>
        <v/>
      </c>
      <c r="M49" s="81">
        <f>M44-M48</f>
        <v/>
      </c>
      <c r="N49" s="81">
        <f>N44-N48</f>
        <v/>
      </c>
      <c r="O49" s="81">
        <f>O44-O48</f>
        <v/>
      </c>
      <c r="P49" s="1" t="n"/>
    </row>
    <row r="50">
      <c r="A50" s="1" t="n"/>
      <c r="B50" s="1" t="n"/>
      <c r="C50" s="5" t="inlineStr">
        <is>
          <t>Provision Charge — Overdraft &amp; Credit Cards</t>
        </is>
      </c>
      <c r="D50" s="1" t="n"/>
      <c r="E50" s="1" t="n"/>
      <c r="F50" s="20" t="inlineStr">
        <is>
          <t>(KES MM)</t>
        </is>
      </c>
      <c r="G50" s="1" t="n"/>
      <c r="H50" s="86" t="n"/>
      <c r="I50" s="21">
        <f>I48-H48</f>
        <v/>
      </c>
      <c r="J50" s="21">
        <f>J48-I48</f>
        <v/>
      </c>
      <c r="K50" s="21">
        <f>K48-J48</f>
        <v/>
      </c>
      <c r="L50" s="21">
        <f>L48-K48</f>
        <v/>
      </c>
      <c r="M50" s="21">
        <f>M48-L48</f>
        <v/>
      </c>
      <c r="N50" s="21">
        <f>N48-M48</f>
        <v/>
      </c>
      <c r="O50" s="21">
        <f>O48-N48</f>
        <v/>
      </c>
      <c r="P50" s="1" t="n"/>
    </row>
    <row r="51" ht="5" customHeight="1"/>
    <row r="52">
      <c r="C52" s="32" t="inlineStr">
        <is>
          <t>Off-Balance-Sheet Exposure</t>
        </is>
      </c>
    </row>
    <row r="53">
      <c r="A53" s="1" t="n"/>
      <c r="B53" s="1" t="n"/>
      <c r="C53" s="5" t="inlineStr">
        <is>
          <t>Off-Balance-Sheet Balance</t>
        </is>
      </c>
      <c r="D53" s="1" t="n"/>
      <c r="E53" s="1" t="n"/>
      <c r="F53" s="20" t="inlineStr">
        <is>
          <t>(KES MM)</t>
        </is>
      </c>
      <c r="G53" s="1" t="n"/>
      <c r="H53" s="86" t="n">
        <v>3718.24</v>
      </c>
      <c r="I53" s="86" t="n">
        <v>3800.743</v>
      </c>
      <c r="J53" s="86" t="n">
        <v>3094.008</v>
      </c>
      <c r="K53" s="87">
        <f>J53*(1+Assumptions!$H$64)</f>
        <v/>
      </c>
      <c r="L53" s="87">
        <f>K53*(1+Assumptions!$H$64)</f>
        <v/>
      </c>
      <c r="M53" s="87">
        <f>L53*(1+Assumptions!$H$64)</f>
        <v/>
      </c>
      <c r="N53" s="87">
        <f>M53*(1+Assumptions!$H$64)</f>
        <v/>
      </c>
      <c r="O53" s="87">
        <f>N53*(1+Assumptions!$H$64)</f>
        <v/>
      </c>
      <c r="P53" s="1" t="n"/>
    </row>
    <row r="54">
      <c r="A54" s="1" t="n"/>
      <c r="B54" s="1" t="n"/>
      <c r="C54" s="5" t="inlineStr">
        <is>
          <t>Off-Balance-Sheet RWA</t>
        </is>
      </c>
      <c r="D54" s="1" t="n"/>
      <c r="E54" s="1" t="n"/>
      <c r="F54" s="20" t="inlineStr">
        <is>
          <t>(KES MM)</t>
        </is>
      </c>
      <c r="G54" s="1" t="n"/>
      <c r="H54" s="87">
        <f>H53*Assumptions!$H$65*Assumptions!$H$66</f>
        <v/>
      </c>
      <c r="I54" s="87">
        <f>I53*Assumptions!$H$65*Assumptions!$H$66</f>
        <v/>
      </c>
      <c r="J54" s="87">
        <f>J53*Assumptions!$H$65*Assumptions!$H$66</f>
        <v/>
      </c>
      <c r="K54" s="87">
        <f>K53*Assumptions!$H$65*Assumptions!$H$66</f>
        <v/>
      </c>
      <c r="L54" s="87">
        <f>L53*Assumptions!$H$65*Assumptions!$H$66</f>
        <v/>
      </c>
      <c r="M54" s="87">
        <f>M53*Assumptions!$H$65*Assumptions!$H$66</f>
        <v/>
      </c>
      <c r="N54" s="87">
        <f>N53*Assumptions!$H$65*Assumptions!$H$66</f>
        <v/>
      </c>
      <c r="O54" s="87">
        <f>O53*Assumptions!$H$65*Assumptions!$H$66</f>
        <v/>
      </c>
      <c r="P54" s="1" t="n"/>
    </row>
    <row r="55" ht="5" customHeight="1"/>
    <row r="56" ht="15" customHeight="1">
      <c r="A56" s="13" t="n"/>
      <c r="B56" s="13" t="n"/>
      <c r="C56" s="29" t="inlineStr">
        <is>
          <t>Loan Book — Aggregate</t>
        </is>
      </c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</row>
    <row r="57" ht="15" customHeight="1">
      <c r="A57" s="88" t="n"/>
      <c r="B57" s="88" t="n"/>
      <c r="C57" s="89" t="inlineStr">
        <is>
          <t>Total Gross Loans</t>
        </is>
      </c>
      <c r="D57" s="88" t="n"/>
      <c r="E57" s="88" t="n"/>
      <c r="F57" s="88" t="n"/>
      <c r="G57" s="88" t="n"/>
      <c r="H57" s="90">
        <f>H20+H32+H44</f>
        <v/>
      </c>
      <c r="I57" s="90">
        <f>I20+I32+I44</f>
        <v/>
      </c>
      <c r="J57" s="90">
        <f>J20+J32+J44</f>
        <v/>
      </c>
      <c r="K57" s="90">
        <f>K20+K32+K44</f>
        <v/>
      </c>
      <c r="L57" s="90">
        <f>L20+L32+L44</f>
        <v/>
      </c>
      <c r="M57" s="90">
        <f>M20+M32+M44</f>
        <v/>
      </c>
      <c r="N57" s="90">
        <f>N20+N32+N44</f>
        <v/>
      </c>
      <c r="O57" s="90">
        <f>O20+O32+O44</f>
        <v/>
      </c>
      <c r="P57" s="88" t="n"/>
    </row>
    <row r="58" ht="15" customHeight="1">
      <c r="A58" s="88" t="n"/>
      <c r="B58" s="88" t="n"/>
      <c r="C58" s="89" t="inlineStr">
        <is>
          <t>Total ECL Allowance</t>
        </is>
      </c>
      <c r="D58" s="88" t="n"/>
      <c r="E58" s="88" t="n"/>
      <c r="F58" s="88" t="n"/>
      <c r="G58" s="88" t="n"/>
      <c r="H58" s="90">
        <f>H24+H36+H48</f>
        <v/>
      </c>
      <c r="I58" s="90">
        <f>I24+I36+I48</f>
        <v/>
      </c>
      <c r="J58" s="90">
        <f>J24+J36+J48</f>
        <v/>
      </c>
      <c r="K58" s="90">
        <f>K24+K36+K48</f>
        <v/>
      </c>
      <c r="L58" s="90">
        <f>L24+L36+L48</f>
        <v/>
      </c>
      <c r="M58" s="90">
        <f>M24+M36+M48</f>
        <v/>
      </c>
      <c r="N58" s="90">
        <f>N24+N36+N48</f>
        <v/>
      </c>
      <c r="O58" s="90">
        <f>O24+O36+O48</f>
        <v/>
      </c>
      <c r="P58" s="88" t="n"/>
    </row>
    <row r="59">
      <c r="A59" s="1" t="n"/>
      <c r="B59" s="1" t="n"/>
      <c r="C59" s="80" t="inlineStr">
        <is>
          <t>Total Net Loans</t>
        </is>
      </c>
      <c r="D59" s="1" t="n"/>
      <c r="E59" s="1" t="n"/>
      <c r="F59" s="1" t="n"/>
      <c r="G59" s="1" t="n"/>
      <c r="H59" s="81">
        <f>H57-H58</f>
        <v/>
      </c>
      <c r="I59" s="81">
        <f>I57-I58</f>
        <v/>
      </c>
      <c r="J59" s="81">
        <f>J57-J58</f>
        <v/>
      </c>
      <c r="K59" s="81">
        <f>K57-K58</f>
        <v/>
      </c>
      <c r="L59" s="81">
        <f>L57-L58</f>
        <v/>
      </c>
      <c r="M59" s="81">
        <f>M57-M58</f>
        <v/>
      </c>
      <c r="N59" s="81">
        <f>N57-N58</f>
        <v/>
      </c>
      <c r="O59" s="81">
        <f>O57-O58</f>
        <v/>
      </c>
      <c r="P59" s="1" t="n"/>
    </row>
    <row r="60">
      <c r="A60" s="1" t="n"/>
      <c r="B60" s="1" t="n"/>
      <c r="C60" s="5" t="inlineStr">
        <is>
          <t>Total Stage 3 (NPL) Gross</t>
        </is>
      </c>
      <c r="D60" s="1" t="n"/>
      <c r="E60" s="1" t="n"/>
      <c r="F60" s="20" t="inlineStr">
        <is>
          <t>(KES MM)</t>
        </is>
      </c>
      <c r="G60" s="1" t="n"/>
      <c r="H60" s="21">
        <f>H19+H31+H43</f>
        <v/>
      </c>
      <c r="I60" s="21">
        <f>I19+I31+I43</f>
        <v/>
      </c>
      <c r="J60" s="21">
        <f>J19+J31+J43</f>
        <v/>
      </c>
      <c r="K60" s="21">
        <f>K19+K31+K43</f>
        <v/>
      </c>
      <c r="L60" s="21">
        <f>L19+L31+L43</f>
        <v/>
      </c>
      <c r="M60" s="21">
        <f>M19+M31+M43</f>
        <v/>
      </c>
      <c r="N60" s="21">
        <f>N19+N31+N43</f>
        <v/>
      </c>
      <c r="O60" s="21">
        <f>O19+O31+O43</f>
        <v/>
      </c>
      <c r="P60" s="1" t="n"/>
    </row>
    <row r="61">
      <c r="A61" s="1" t="n"/>
      <c r="B61" s="1" t="n"/>
      <c r="C61" s="5" t="inlineStr">
        <is>
          <t>NPL Ratio</t>
        </is>
      </c>
      <c r="D61" s="1" t="n"/>
      <c r="E61" s="1" t="n"/>
      <c r="F61" s="1" t="n"/>
      <c r="G61" s="1" t="n"/>
      <c r="H61" s="22">
        <f>IF(H57&lt;&gt;0,H60/H57,0)</f>
        <v/>
      </c>
      <c r="I61" s="22">
        <f>IF(I57&lt;&gt;0,I60/I57,0)</f>
        <v/>
      </c>
      <c r="J61" s="22">
        <f>IF(J57&lt;&gt;0,J60/J57,0)</f>
        <v/>
      </c>
      <c r="K61" s="22">
        <f>IF(K57&lt;&gt;0,K60/K57,0)</f>
        <v/>
      </c>
      <c r="L61" s="22">
        <f>IF(L57&lt;&gt;0,L60/L57,0)</f>
        <v/>
      </c>
      <c r="M61" s="22">
        <f>IF(M57&lt;&gt;0,M60/M57,0)</f>
        <v/>
      </c>
      <c r="N61" s="22">
        <f>IF(N57&lt;&gt;0,N60/N57,0)</f>
        <v/>
      </c>
      <c r="O61" s="22">
        <f>IF(O57&lt;&gt;0,O60/O57,0)</f>
        <v/>
      </c>
      <c r="P61" s="1" t="n"/>
    </row>
    <row r="62" ht="15" customHeight="1">
      <c r="A62" s="88" t="n"/>
      <c r="B62" s="88" t="n"/>
      <c r="C62" s="89" t="inlineStr">
        <is>
          <t>Total Provision Charge</t>
        </is>
      </c>
      <c r="D62" s="88" t="n"/>
      <c r="E62" s="88" t="n"/>
      <c r="F62" s="88" t="n"/>
      <c r="G62" s="88" t="n"/>
      <c r="H62" s="88" t="n"/>
      <c r="I62" s="90">
        <f>I26+I38+I50</f>
        <v/>
      </c>
      <c r="J62" s="90">
        <f>J26+J38+J50</f>
        <v/>
      </c>
      <c r="K62" s="90">
        <f>K26+K38+K50</f>
        <v/>
      </c>
      <c r="L62" s="90">
        <f>L26+L38+L50</f>
        <v/>
      </c>
      <c r="M62" s="90">
        <f>M26+M38+M50</f>
        <v/>
      </c>
      <c r="N62" s="90">
        <f>N26+N38+N50</f>
        <v/>
      </c>
      <c r="O62" s="90">
        <f>O26+O38+O50</f>
        <v/>
      </c>
      <c r="P62" s="88" t="n"/>
    </row>
    <row r="63" ht="8" customHeight="1"/>
    <row r="64" ht="15" customHeight="1">
      <c r="A64" s="13" t="n"/>
      <c r="B64" s="13" t="n"/>
      <c r="C64" s="29" t="inlineStr">
        <is>
          <t>Loan Book Concentration — Sector Detail (Actuals, disclosed)</t>
        </is>
      </c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</row>
    <row r="65">
      <c r="C65" s="34" t="inlineStr">
        <is>
          <t>Family Bank changed its sector classification scheme between FY2023 (7 categories) and FY2024/FY2025 (10 categories, FY2024 restated into the new scheme in the FY2025 report) — shown as two separate tables rather than forced into one. No CBK sector-concentration limit is disclosed anywhere to check this against.</t>
        </is>
      </c>
    </row>
    <row r="67">
      <c r="C67" s="32" t="inlineStr">
        <is>
          <t>10-Category Scheme (2023 not available in this scheme)</t>
        </is>
      </c>
    </row>
    <row r="68" ht="14" customHeight="1">
      <c r="A68" s="13" t="n"/>
      <c r="B68" s="13" t="n"/>
      <c r="C68" s="14" t="inlineStr"/>
      <c r="D68" s="13" t="n"/>
      <c r="E68" s="13" t="n"/>
      <c r="F68" s="13" t="n"/>
      <c r="G68" s="13" t="n"/>
      <c r="H68" s="15">
        <f>H11</f>
        <v/>
      </c>
      <c r="I68" s="15">
        <f>I11</f>
        <v/>
      </c>
      <c r="J68" s="15">
        <f>J11</f>
        <v/>
      </c>
      <c r="K68" s="13" t="n"/>
      <c r="L68" s="13" t="n"/>
      <c r="M68" s="13" t="n"/>
      <c r="N68" s="13" t="n"/>
      <c r="O68" s="13" t="n"/>
      <c r="P68" s="13" t="n"/>
    </row>
    <row r="69">
      <c r="A69" s="1" t="n"/>
      <c r="B69" s="1" t="n"/>
      <c r="C69" s="5" t="inlineStr">
        <is>
          <t>Agriculture</t>
        </is>
      </c>
      <c r="D69" s="1" t="n"/>
      <c r="E69" s="1" t="n"/>
      <c r="F69" s="20" t="inlineStr">
        <is>
          <t>(KES MM)</t>
        </is>
      </c>
      <c r="G69" s="1" t="n"/>
      <c r="H69" s="86" t="n"/>
      <c r="I69" s="86" t="n">
        <v>5018.959</v>
      </c>
      <c r="J69" s="86" t="n">
        <v>8162.107</v>
      </c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5" t="inlineStr">
        <is>
          <t>Building &amp; Construction</t>
        </is>
      </c>
      <c r="D70" s="1" t="n"/>
      <c r="E70" s="1" t="n"/>
      <c r="F70" s="20" t="inlineStr">
        <is>
          <t>(KES MM)</t>
        </is>
      </c>
      <c r="G70" s="1" t="n"/>
      <c r="H70" s="86" t="n"/>
      <c r="I70" s="86" t="n">
        <v>3955.368</v>
      </c>
      <c r="J70" s="86" t="n">
        <v>4966.298</v>
      </c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5" t="inlineStr">
        <is>
          <t>Energy &amp; Water</t>
        </is>
      </c>
      <c r="D71" s="1" t="n"/>
      <c r="E71" s="1" t="n"/>
      <c r="F71" s="20" t="inlineStr">
        <is>
          <t>(KES MM)</t>
        </is>
      </c>
      <c r="G71" s="1" t="n"/>
      <c r="H71" s="86" t="n"/>
      <c r="I71" s="86" t="n">
        <v>1122.413</v>
      </c>
      <c r="J71" s="86" t="n">
        <v>1260.169</v>
      </c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5" t="inlineStr">
        <is>
          <t>Finance &amp; Insurance Services</t>
        </is>
      </c>
      <c r="D72" s="1" t="n"/>
      <c r="E72" s="1" t="n"/>
      <c r="F72" s="20" t="inlineStr">
        <is>
          <t>(KES MM)</t>
        </is>
      </c>
      <c r="G72" s="1" t="n"/>
      <c r="H72" s="86" t="n"/>
      <c r="I72" s="86" t="n">
        <v>3292.526</v>
      </c>
      <c r="J72" s="86" t="n">
        <v>3371.756</v>
      </c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5" t="inlineStr">
        <is>
          <t>Manufacturing</t>
        </is>
      </c>
      <c r="D73" s="1" t="n"/>
      <c r="E73" s="1" t="n"/>
      <c r="F73" s="20" t="inlineStr">
        <is>
          <t>(KES MM)</t>
        </is>
      </c>
      <c r="G73" s="1" t="n"/>
      <c r="H73" s="86" t="n"/>
      <c r="I73" s="86" t="n">
        <v>4463.402</v>
      </c>
      <c r="J73" s="86" t="n">
        <v>5764.765</v>
      </c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5" t="inlineStr">
        <is>
          <t>Personal/Household</t>
        </is>
      </c>
      <c r="D74" s="1" t="n"/>
      <c r="E74" s="1" t="n"/>
      <c r="F74" s="20" t="inlineStr">
        <is>
          <t>(KES MM)</t>
        </is>
      </c>
      <c r="G74" s="1" t="n"/>
      <c r="H74" s="86" t="n"/>
      <c r="I74" s="86" t="n">
        <v>26080.949</v>
      </c>
      <c r="J74" s="86" t="n">
        <v>30446.85</v>
      </c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5" t="inlineStr">
        <is>
          <t>Real Estate</t>
        </is>
      </c>
      <c r="D75" s="1" t="n"/>
      <c r="E75" s="1" t="n"/>
      <c r="F75" s="20" t="inlineStr">
        <is>
          <t>(KES MM)</t>
        </is>
      </c>
      <c r="G75" s="1" t="n"/>
      <c r="H75" s="86" t="n"/>
      <c r="I75" s="86" t="n">
        <v>10858.692</v>
      </c>
      <c r="J75" s="86" t="n">
        <v>10577.623</v>
      </c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5" t="inlineStr">
        <is>
          <t>Tourism, Restaurant &amp; Hotels</t>
        </is>
      </c>
      <c r="D76" s="1" t="n"/>
      <c r="E76" s="1" t="n"/>
      <c r="F76" s="20" t="inlineStr">
        <is>
          <t>(KES MM)</t>
        </is>
      </c>
      <c r="G76" s="1" t="n"/>
      <c r="H76" s="86" t="n"/>
      <c r="I76" s="86" t="n">
        <v>2422.828</v>
      </c>
      <c r="J76" s="86" t="n">
        <v>2683.742</v>
      </c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5" t="inlineStr">
        <is>
          <t>Trade</t>
        </is>
      </c>
      <c r="D77" s="1" t="n"/>
      <c r="E77" s="1" t="n"/>
      <c r="F77" s="20" t="inlineStr">
        <is>
          <t>(KES MM)</t>
        </is>
      </c>
      <c r="G77" s="1" t="n"/>
      <c r="H77" s="86" t="n"/>
      <c r="I77" s="86" t="n">
        <v>31349.652</v>
      </c>
      <c r="J77" s="86" t="n">
        <v>33914.447</v>
      </c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5" t="inlineStr">
        <is>
          <t>Transport &amp; Communication</t>
        </is>
      </c>
      <c r="D78" s="1" t="n"/>
      <c r="E78" s="1" t="n"/>
      <c r="F78" s="20" t="inlineStr">
        <is>
          <t>(KES MM)</t>
        </is>
      </c>
      <c r="G78" s="1" t="n"/>
      <c r="H78" s="86" t="n"/>
      <c r="I78" s="86" t="n">
        <v>4343.776</v>
      </c>
      <c r="J78" s="86" t="n">
        <v>4751.155</v>
      </c>
      <c r="K78" s="1" t="n"/>
      <c r="L78" s="1" t="n"/>
      <c r="M78" s="1" t="n"/>
      <c r="N78" s="1" t="n"/>
      <c r="O78" s="1" t="n"/>
      <c r="P78" s="1" t="n"/>
    </row>
    <row r="79" ht="15" customHeight="1">
      <c r="A79" s="88" t="n"/>
      <c r="B79" s="88" t="n"/>
      <c r="C79" s="89" t="inlineStr">
        <is>
          <t>Total</t>
        </is>
      </c>
      <c r="D79" s="88" t="n"/>
      <c r="E79" s="88" t="n"/>
      <c r="F79" s="88" t="n"/>
      <c r="G79" s="88" t="n"/>
      <c r="H79" s="88" t="n"/>
      <c r="I79" s="90">
        <f>I69+I70+I71+I72+I73+I74+I75+I76+I77+I78</f>
        <v/>
      </c>
      <c r="J79" s="90">
        <f>J69+J70+J71+J72+J73+J74+J75+J76+J77+J78</f>
        <v/>
      </c>
      <c r="K79" s="88" t="n"/>
      <c r="L79" s="88" t="n"/>
      <c r="M79" s="88" t="n"/>
      <c r="N79" s="88" t="n"/>
      <c r="O79" s="88" t="n"/>
      <c r="P79" s="88" t="n"/>
    </row>
    <row r="80">
      <c r="A80" s="1" t="n"/>
      <c r="B80" s="1" t="n"/>
      <c r="C80" s="5" t="inlineStr">
        <is>
          <t xml:space="preserve">  % of Total — Agriculture</t>
        </is>
      </c>
      <c r="D80" s="1" t="n"/>
      <c r="E80" s="1" t="n"/>
      <c r="F80" s="1" t="n"/>
      <c r="G80" s="1" t="n"/>
      <c r="H80" s="91" t="n"/>
      <c r="I80" s="22">
        <f>IF(I79&lt;&gt;0,I69/I79,0)</f>
        <v/>
      </c>
      <c r="J80" s="22">
        <f>IF(J79&lt;&gt;0,J69/J79,0)</f>
        <v/>
      </c>
      <c r="K80" s="1" t="n"/>
      <c r="L80" s="1" t="n"/>
      <c r="M80" s="1" t="n"/>
      <c r="N80" s="1" t="n"/>
      <c r="O80" s="1" t="n"/>
      <c r="P80" s="1" t="n"/>
    </row>
    <row r="81">
      <c r="A81" s="1" t="n"/>
      <c r="B81" s="1" t="n"/>
      <c r="C81" s="5" t="inlineStr">
        <is>
          <t xml:space="preserve">  % of Total — Building &amp; Construction</t>
        </is>
      </c>
      <c r="D81" s="1" t="n"/>
      <c r="E81" s="1" t="n"/>
      <c r="F81" s="1" t="n"/>
      <c r="G81" s="1" t="n"/>
      <c r="H81" s="91" t="n"/>
      <c r="I81" s="22">
        <f>IF(I79&lt;&gt;0,I70/I79,0)</f>
        <v/>
      </c>
      <c r="J81" s="22">
        <f>IF(J79&lt;&gt;0,J70/J79,0)</f>
        <v/>
      </c>
      <c r="K81" s="1" t="n"/>
      <c r="L81" s="1" t="n"/>
      <c r="M81" s="1" t="n"/>
      <c r="N81" s="1" t="n"/>
      <c r="O81" s="1" t="n"/>
      <c r="P81" s="1" t="n"/>
    </row>
    <row r="82">
      <c r="A82" s="1" t="n"/>
      <c r="B82" s="1" t="n"/>
      <c r="C82" s="5" t="inlineStr">
        <is>
          <t xml:space="preserve">  % of Total — Energy &amp; Water</t>
        </is>
      </c>
      <c r="D82" s="1" t="n"/>
      <c r="E82" s="1" t="n"/>
      <c r="F82" s="1" t="n"/>
      <c r="G82" s="1" t="n"/>
      <c r="H82" s="91" t="n"/>
      <c r="I82" s="22">
        <f>IF(I79&lt;&gt;0,I71/I79,0)</f>
        <v/>
      </c>
      <c r="J82" s="22">
        <f>IF(J79&lt;&gt;0,J71/J79,0)</f>
        <v/>
      </c>
      <c r="K82" s="1" t="n"/>
      <c r="L82" s="1" t="n"/>
      <c r="M82" s="1" t="n"/>
      <c r="N82" s="1" t="n"/>
      <c r="O82" s="1" t="n"/>
      <c r="P82" s="1" t="n"/>
    </row>
    <row r="83">
      <c r="A83" s="1" t="n"/>
      <c r="B83" s="1" t="n"/>
      <c r="C83" s="5" t="inlineStr">
        <is>
          <t xml:space="preserve">  % of Total — Finance &amp; Insurance Services</t>
        </is>
      </c>
      <c r="D83" s="1" t="n"/>
      <c r="E83" s="1" t="n"/>
      <c r="F83" s="1" t="n"/>
      <c r="G83" s="1" t="n"/>
      <c r="H83" s="91" t="n"/>
      <c r="I83" s="22">
        <f>IF(I79&lt;&gt;0,I72/I79,0)</f>
        <v/>
      </c>
      <c r="J83" s="22">
        <f>IF(J79&lt;&gt;0,J72/J79,0)</f>
        <v/>
      </c>
      <c r="K83" s="1" t="n"/>
      <c r="L83" s="1" t="n"/>
      <c r="M83" s="1" t="n"/>
      <c r="N83" s="1" t="n"/>
      <c r="O83" s="1" t="n"/>
      <c r="P83" s="1" t="n"/>
    </row>
    <row r="84">
      <c r="A84" s="1" t="n"/>
      <c r="B84" s="1" t="n"/>
      <c r="C84" s="5" t="inlineStr">
        <is>
          <t xml:space="preserve">  % of Total — Manufacturing</t>
        </is>
      </c>
      <c r="D84" s="1" t="n"/>
      <c r="E84" s="1" t="n"/>
      <c r="F84" s="1" t="n"/>
      <c r="G84" s="1" t="n"/>
      <c r="H84" s="91" t="n"/>
      <c r="I84" s="22">
        <f>IF(I79&lt;&gt;0,I73/I79,0)</f>
        <v/>
      </c>
      <c r="J84" s="22">
        <f>IF(J79&lt;&gt;0,J73/J79,0)</f>
        <v/>
      </c>
      <c r="K84" s="1" t="n"/>
      <c r="L84" s="1" t="n"/>
      <c r="M84" s="1" t="n"/>
      <c r="N84" s="1" t="n"/>
      <c r="O84" s="1" t="n"/>
      <c r="P84" s="1" t="n"/>
    </row>
    <row r="85">
      <c r="A85" s="1" t="n"/>
      <c r="B85" s="1" t="n"/>
      <c r="C85" s="5" t="inlineStr">
        <is>
          <t xml:space="preserve">  % of Total — Personal/Household</t>
        </is>
      </c>
      <c r="D85" s="1" t="n"/>
      <c r="E85" s="1" t="n"/>
      <c r="F85" s="1" t="n"/>
      <c r="G85" s="1" t="n"/>
      <c r="H85" s="91" t="n"/>
      <c r="I85" s="22">
        <f>IF(I79&lt;&gt;0,I74/I79,0)</f>
        <v/>
      </c>
      <c r="J85" s="22">
        <f>IF(J79&lt;&gt;0,J74/J79,0)</f>
        <v/>
      </c>
      <c r="K85" s="1" t="n"/>
      <c r="L85" s="1" t="n"/>
      <c r="M85" s="1" t="n"/>
      <c r="N85" s="1" t="n"/>
      <c r="O85" s="1" t="n"/>
      <c r="P85" s="1" t="n"/>
    </row>
    <row r="86">
      <c r="A86" s="1" t="n"/>
      <c r="B86" s="1" t="n"/>
      <c r="C86" s="5" t="inlineStr">
        <is>
          <t xml:space="preserve">  % of Total — Real Estate</t>
        </is>
      </c>
      <c r="D86" s="1" t="n"/>
      <c r="E86" s="1" t="n"/>
      <c r="F86" s="1" t="n"/>
      <c r="G86" s="1" t="n"/>
      <c r="H86" s="91" t="n"/>
      <c r="I86" s="22">
        <f>IF(I79&lt;&gt;0,I75/I79,0)</f>
        <v/>
      </c>
      <c r="J86" s="22">
        <f>IF(J79&lt;&gt;0,J75/J79,0)</f>
        <v/>
      </c>
      <c r="K86" s="1" t="n"/>
      <c r="L86" s="1" t="n"/>
      <c r="M86" s="1" t="n"/>
      <c r="N86" s="1" t="n"/>
      <c r="O86" s="1" t="n"/>
      <c r="P86" s="1" t="n"/>
    </row>
    <row r="87">
      <c r="A87" s="1" t="n"/>
      <c r="B87" s="1" t="n"/>
      <c r="C87" s="5" t="inlineStr">
        <is>
          <t xml:space="preserve">  % of Total — Tourism, Restaurant &amp; Hotels</t>
        </is>
      </c>
      <c r="D87" s="1" t="n"/>
      <c r="E87" s="1" t="n"/>
      <c r="F87" s="1" t="n"/>
      <c r="G87" s="1" t="n"/>
      <c r="H87" s="91" t="n"/>
      <c r="I87" s="22">
        <f>IF(I79&lt;&gt;0,I76/I79,0)</f>
        <v/>
      </c>
      <c r="J87" s="22">
        <f>IF(J79&lt;&gt;0,J76/J79,0)</f>
        <v/>
      </c>
      <c r="K87" s="1" t="n"/>
      <c r="L87" s="1" t="n"/>
      <c r="M87" s="1" t="n"/>
      <c r="N87" s="1" t="n"/>
      <c r="O87" s="1" t="n"/>
      <c r="P87" s="1" t="n"/>
    </row>
    <row r="88">
      <c r="A88" s="1" t="n"/>
      <c r="B88" s="1" t="n"/>
      <c r="C88" s="5" t="inlineStr">
        <is>
          <t xml:space="preserve">  % of Total — Trade</t>
        </is>
      </c>
      <c r="D88" s="1" t="n"/>
      <c r="E88" s="1" t="n"/>
      <c r="F88" s="1" t="n"/>
      <c r="G88" s="1" t="n"/>
      <c r="H88" s="91" t="n"/>
      <c r="I88" s="22">
        <f>IF(I79&lt;&gt;0,I77/I79,0)</f>
        <v/>
      </c>
      <c r="J88" s="22">
        <f>IF(J79&lt;&gt;0,J77/J79,0)</f>
        <v/>
      </c>
      <c r="K88" s="1" t="n"/>
      <c r="L88" s="1" t="n"/>
      <c r="M88" s="1" t="n"/>
      <c r="N88" s="1" t="n"/>
      <c r="O88" s="1" t="n"/>
      <c r="P88" s="1" t="n"/>
    </row>
    <row r="89">
      <c r="A89" s="1" t="n"/>
      <c r="B89" s="1" t="n"/>
      <c r="C89" s="5" t="inlineStr">
        <is>
          <t xml:space="preserve">  % of Total — Transport &amp; Communication</t>
        </is>
      </c>
      <c r="D89" s="1" t="n"/>
      <c r="E89" s="1" t="n"/>
      <c r="F89" s="1" t="n"/>
      <c r="G89" s="1" t="n"/>
      <c r="H89" s="91" t="n"/>
      <c r="I89" s="22">
        <f>IF(I79&lt;&gt;0,I78/I79,0)</f>
        <v/>
      </c>
      <c r="J89" s="22">
        <f>IF(J79&lt;&gt;0,J78/J79,0)</f>
        <v/>
      </c>
      <c r="K89" s="1" t="n"/>
      <c r="L89" s="1" t="n"/>
      <c r="M89" s="1" t="n"/>
      <c r="N89" s="1" t="n"/>
      <c r="O89" s="1" t="n"/>
      <c r="P89" s="1" t="n"/>
    </row>
    <row r="91" ht="8" customHeight="1"/>
    <row r="92">
      <c r="C92" s="32" t="inlineStr">
        <is>
          <t>FY2023 — Prior 7-Category Scheme (not directly comparable to above)</t>
        </is>
      </c>
    </row>
    <row r="93">
      <c r="A93" s="1" t="n"/>
      <c r="B93" s="1" t="n"/>
      <c r="C93" s="5" t="inlineStr">
        <is>
          <t>Manufacturing</t>
        </is>
      </c>
      <c r="D93" s="1" t="n"/>
      <c r="E93" s="1" t="n"/>
      <c r="F93" s="20" t="inlineStr">
        <is>
          <t>(KES MM)</t>
        </is>
      </c>
      <c r="G93" s="1" t="n"/>
      <c r="H93" s="86" t="n">
        <v>1164.055</v>
      </c>
      <c r="I93" s="86" t="n"/>
      <c r="J93" s="86" t="n"/>
      <c r="K93" s="1" t="n"/>
      <c r="L93" s="1" t="n"/>
      <c r="M93" s="1" t="n"/>
      <c r="N93" s="1" t="n"/>
      <c r="O93" s="1" t="n"/>
      <c r="P93" s="1" t="n"/>
    </row>
    <row r="94">
      <c r="A94" s="1" t="n"/>
      <c r="B94" s="1" t="n"/>
      <c r="C94" s="5" t="inlineStr">
        <is>
          <t>Wholesale and Retail</t>
        </is>
      </c>
      <c r="D94" s="1" t="n"/>
      <c r="E94" s="1" t="n"/>
      <c r="F94" s="20" t="inlineStr">
        <is>
          <t>(KES MM)</t>
        </is>
      </c>
      <c r="G94" s="1" t="n"/>
      <c r="H94" s="86" t="n">
        <v>35411.499</v>
      </c>
      <c r="I94" s="86" t="n"/>
      <c r="J94" s="86" t="n"/>
      <c r="K94" s="1" t="n"/>
      <c r="L94" s="1" t="n"/>
      <c r="M94" s="1" t="n"/>
      <c r="N94" s="1" t="n"/>
      <c r="O94" s="1" t="n"/>
      <c r="P94" s="1" t="n"/>
    </row>
    <row r="95">
      <c r="A95" s="1" t="n"/>
      <c r="B95" s="1" t="n"/>
      <c r="C95" s="5" t="inlineStr">
        <is>
          <t>Transport and Communication</t>
        </is>
      </c>
      <c r="D95" s="1" t="n"/>
      <c r="E95" s="1" t="n"/>
      <c r="F95" s="20" t="inlineStr">
        <is>
          <t>(KES MM)</t>
        </is>
      </c>
      <c r="G95" s="1" t="n"/>
      <c r="H95" s="86" t="n">
        <v>4623.765</v>
      </c>
      <c r="I95" s="86" t="n"/>
      <c r="J95" s="86" t="n"/>
      <c r="K95" s="1" t="n"/>
      <c r="L95" s="1" t="n"/>
      <c r="M95" s="1" t="n"/>
      <c r="N95" s="1" t="n"/>
      <c r="O95" s="1" t="n"/>
      <c r="P95" s="1" t="n"/>
    </row>
    <row r="96">
      <c r="A96" s="1" t="n"/>
      <c r="B96" s="1" t="n"/>
      <c r="C96" s="5" t="inlineStr">
        <is>
          <t>Agriculture</t>
        </is>
      </c>
      <c r="D96" s="1" t="n"/>
      <c r="E96" s="1" t="n"/>
      <c r="F96" s="20" t="inlineStr">
        <is>
          <t>(KES MM)</t>
        </is>
      </c>
      <c r="G96" s="1" t="n"/>
      <c r="H96" s="86" t="n">
        <v>5949.684</v>
      </c>
      <c r="I96" s="86" t="n"/>
      <c r="J96" s="86" t="n"/>
      <c r="K96" s="1" t="n"/>
      <c r="L96" s="1" t="n"/>
      <c r="M96" s="1" t="n"/>
      <c r="N96" s="1" t="n"/>
      <c r="O96" s="1" t="n"/>
      <c r="P96" s="1" t="n"/>
    </row>
    <row r="97">
      <c r="A97" s="1" t="n"/>
      <c r="B97" s="1" t="n"/>
      <c r="C97" s="5" t="inlineStr">
        <is>
          <t>Business Services</t>
        </is>
      </c>
      <c r="D97" s="1" t="n"/>
      <c r="E97" s="1" t="n"/>
      <c r="F97" s="20" t="inlineStr">
        <is>
          <t>(KES MM)</t>
        </is>
      </c>
      <c r="G97" s="1" t="n"/>
      <c r="H97" s="86" t="n">
        <v>3305.282</v>
      </c>
      <c r="I97" s="86" t="n"/>
      <c r="J97" s="86" t="n"/>
      <c r="K97" s="1" t="n"/>
      <c r="L97" s="1" t="n"/>
      <c r="M97" s="1" t="n"/>
      <c r="N97" s="1" t="n"/>
      <c r="O97" s="1" t="n"/>
      <c r="P97" s="1" t="n"/>
    </row>
    <row r="98">
      <c r="A98" s="1" t="n"/>
      <c r="B98" s="1" t="n"/>
      <c r="C98" s="5" t="inlineStr">
        <is>
          <t>Building and Construction</t>
        </is>
      </c>
      <c r="D98" s="1" t="n"/>
      <c r="E98" s="1" t="n"/>
      <c r="F98" s="20" t="inlineStr">
        <is>
          <t>(KES MM)</t>
        </is>
      </c>
      <c r="G98" s="1" t="n"/>
      <c r="H98" s="86" t="n">
        <v>3777.774</v>
      </c>
      <c r="I98" s="86" t="n"/>
      <c r="J98" s="86" t="n"/>
      <c r="K98" s="1" t="n"/>
      <c r="L98" s="1" t="n"/>
      <c r="M98" s="1" t="n"/>
      <c r="N98" s="1" t="n"/>
      <c r="O98" s="1" t="n"/>
      <c r="P98" s="1" t="n"/>
    </row>
    <row r="99">
      <c r="A99" s="1" t="n"/>
      <c r="B99" s="1" t="n"/>
      <c r="C99" s="5" t="inlineStr">
        <is>
          <t>Other</t>
        </is>
      </c>
      <c r="D99" s="1" t="n"/>
      <c r="E99" s="1" t="n"/>
      <c r="F99" s="20" t="inlineStr">
        <is>
          <t>(KES MM)</t>
        </is>
      </c>
      <c r="G99" s="1" t="n"/>
      <c r="H99" s="86" t="n">
        <v>32689.3</v>
      </c>
      <c r="I99" s="86" t="n"/>
      <c r="J99" s="86" t="n"/>
      <c r="K99" s="1" t="n"/>
      <c r="L99" s="1" t="n"/>
      <c r="M99" s="1" t="n"/>
      <c r="N99" s="1" t="n"/>
      <c r="O99" s="1" t="n"/>
      <c r="P99" s="1" t="n"/>
    </row>
    <row r="100" ht="15" customHeight="1">
      <c r="A100" s="88" t="n"/>
      <c r="B100" s="88" t="n"/>
      <c r="C100" s="89" t="inlineStr">
        <is>
          <t>Total</t>
        </is>
      </c>
      <c r="D100" s="88" t="n"/>
      <c r="E100" s="88" t="n"/>
      <c r="F100" s="88" t="n"/>
      <c r="G100" s="88" t="n"/>
      <c r="H100" s="90">
        <f>H93+H94+H95+H96+H97+H98+H99</f>
        <v/>
      </c>
      <c r="I100" s="88" t="n"/>
      <c r="J100" s="88" t="n"/>
      <c r="K100" s="88" t="n"/>
      <c r="L100" s="88" t="n"/>
      <c r="M100" s="88" t="n"/>
      <c r="N100" s="88" t="n"/>
      <c r="O100" s="88" t="n"/>
      <c r="P100" s="88" t="n"/>
    </row>
    <row r="101" ht="8" customHeight="1"/>
    <row r="102" ht="15" customHeight="1">
      <c r="A102" s="11" t="n"/>
      <c r="B102" s="11" t="n"/>
      <c r="C102" s="83" t="inlineStr">
        <is>
          <t>SECURITIES, DEPOSITS &amp; NET INTEREST INCOME</t>
        </is>
      </c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</row>
    <row r="103" ht="14" customHeight="1">
      <c r="A103" s="13" t="n"/>
      <c r="B103" s="13" t="n"/>
      <c r="C103" s="14" t="inlineStr"/>
      <c r="D103" s="13" t="n"/>
      <c r="E103" s="13" t="n"/>
      <c r="F103" s="13" t="n"/>
      <c r="G103" s="13" t="n"/>
      <c r="H103" s="15">
        <f>H11</f>
        <v/>
      </c>
      <c r="I103" s="15">
        <f>I11</f>
        <v/>
      </c>
      <c r="J103" s="15">
        <f>J11</f>
        <v/>
      </c>
      <c r="K103" s="15">
        <f>K11</f>
        <v/>
      </c>
      <c r="L103" s="15">
        <f>L11</f>
        <v/>
      </c>
      <c r="M103" s="15">
        <f>M11</f>
        <v/>
      </c>
      <c r="N103" s="15">
        <f>N11</f>
        <v/>
      </c>
      <c r="O103" s="15">
        <f>O11</f>
        <v/>
      </c>
      <c r="P103" s="13" t="n"/>
    </row>
    <row r="104" ht="5" customHeight="1"/>
    <row r="105">
      <c r="C105" s="32" t="inlineStr">
        <is>
          <t>Investment Securities</t>
        </is>
      </c>
    </row>
    <row r="106">
      <c r="A106" s="1" t="n"/>
      <c r="B106" s="1" t="n"/>
      <c r="C106" s="5" t="inlineStr">
        <is>
          <t>Government Securities Balance</t>
        </is>
      </c>
      <c r="D106" s="1" t="n"/>
      <c r="E106" s="1" t="n"/>
      <c r="F106" s="20" t="inlineStr">
        <is>
          <t>(KES MM)</t>
        </is>
      </c>
      <c r="G106" s="1" t="n"/>
      <c r="H106" s="86" t="n">
        <v>34805.638</v>
      </c>
      <c r="I106" s="86" t="n">
        <v>50988.8</v>
      </c>
      <c r="J106" s="86" t="n">
        <v>74014.473</v>
      </c>
      <c r="K106" s="87">
        <f>J106*(1+Assumptions!$H$91)</f>
        <v/>
      </c>
      <c r="L106" s="87">
        <f>K106*(1+Assumptions!$H$91)</f>
        <v/>
      </c>
      <c r="M106" s="87">
        <f>L106*(1+Assumptions!$H$91)</f>
        <v/>
      </c>
      <c r="N106" s="87">
        <f>M106*(1+Assumptions!$H$91)</f>
        <v/>
      </c>
      <c r="O106" s="87">
        <f>N106*(1+Assumptions!$H$91)</f>
        <v/>
      </c>
      <c r="P106" s="1" t="n"/>
    </row>
    <row r="107">
      <c r="A107" s="1" t="n"/>
      <c r="B107" s="1" t="n"/>
      <c r="C107" s="5" t="inlineStr">
        <is>
          <t>Securities Interest Income</t>
        </is>
      </c>
      <c r="D107" s="1" t="n"/>
      <c r="E107" s="1" t="n"/>
      <c r="F107" s="20" t="inlineStr">
        <is>
          <t>(KES MM)</t>
        </is>
      </c>
      <c r="G107" s="1" t="n"/>
      <c r="H107" s="86" t="n"/>
      <c r="I107" s="86" t="n"/>
      <c r="J107" s="86" t="n"/>
      <c r="K107" s="87">
        <f>K106*Assumptions!$H$92</f>
        <v/>
      </c>
      <c r="L107" s="87">
        <f>L106*Assumptions!$H$92</f>
        <v/>
      </c>
      <c r="M107" s="87">
        <f>M106*Assumptions!$H$92</f>
        <v/>
      </c>
      <c r="N107" s="87">
        <f>N106*Assumptions!$H$92</f>
        <v/>
      </c>
      <c r="O107" s="87">
        <f>O106*Assumptions!$H$92</f>
        <v/>
      </c>
      <c r="P107" s="1" t="n"/>
    </row>
    <row r="108" ht="5" customHeight="1"/>
    <row r="109">
      <c r="C109" s="32" t="inlineStr">
        <is>
          <t>Deposits / Funding</t>
        </is>
      </c>
    </row>
    <row r="110">
      <c r="A110" s="16" t="n"/>
      <c r="B110" s="16" t="n"/>
      <c r="C110" s="23" t="inlineStr">
        <is>
          <t>Demand / Current — Balance</t>
        </is>
      </c>
      <c r="D110" s="16" t="n"/>
      <c r="E110" s="16" t="n"/>
      <c r="F110" s="18" t="inlineStr">
        <is>
          <t>(KES MM)</t>
        </is>
      </c>
      <c r="G110" s="16" t="n"/>
      <c r="H110" s="74">
        <f>0.300000*103137.731</f>
        <v/>
      </c>
      <c r="I110" s="74">
        <f>0.300000*127142.024</f>
        <v/>
      </c>
      <c r="J110" s="74">
        <f>0.300000*152437.336</f>
        <v/>
      </c>
      <c r="K110" s="85">
        <f>J110*(1+Assumptions!$H$83)</f>
        <v/>
      </c>
      <c r="L110" s="85">
        <f>K110*(1+Assumptions!$H$83)</f>
        <v/>
      </c>
      <c r="M110" s="85">
        <f>L110*(1+Assumptions!$H$83)</f>
        <v/>
      </c>
      <c r="N110" s="85">
        <f>M110*(1+Assumptions!$H$83)</f>
        <v/>
      </c>
      <c r="O110" s="85">
        <f>N110*(1+Assumptions!$H$83)</f>
        <v/>
      </c>
      <c r="P110" s="16" t="n"/>
    </row>
    <row r="111">
      <c r="A111" s="1" t="n"/>
      <c r="B111" s="1" t="n"/>
      <c r="C111" s="5" t="inlineStr">
        <is>
          <t>Demand / Current — Interest Expense</t>
        </is>
      </c>
      <c r="D111" s="1" t="n"/>
      <c r="E111" s="1" t="n"/>
      <c r="F111" s="20" t="inlineStr">
        <is>
          <t>(KES MM)</t>
        </is>
      </c>
      <c r="G111" s="1" t="n"/>
      <c r="H111" s="86" t="n"/>
      <c r="I111" s="86" t="n"/>
      <c r="J111" s="86" t="n"/>
      <c r="K111" s="87">
        <f>K110*Assumptions!$H$87</f>
        <v/>
      </c>
      <c r="L111" s="87">
        <f>L110*Assumptions!$H$87</f>
        <v/>
      </c>
      <c r="M111" s="87">
        <f>M110*Assumptions!$H$87</f>
        <v/>
      </c>
      <c r="N111" s="87">
        <f>N110*Assumptions!$H$87</f>
        <v/>
      </c>
      <c r="O111" s="87">
        <f>O110*Assumptions!$H$87</f>
        <v/>
      </c>
      <c r="P111" s="1" t="n"/>
    </row>
    <row r="112">
      <c r="A112" s="1" t="n"/>
      <c r="B112" s="1" t="n"/>
      <c r="C112" s="5" t="inlineStr">
        <is>
          <t>Savings — Balance</t>
        </is>
      </c>
      <c r="D112" s="1" t="n"/>
      <c r="E112" s="1" t="n"/>
      <c r="F112" s="20" t="inlineStr">
        <is>
          <t>(KES MM)</t>
        </is>
      </c>
      <c r="G112" s="1" t="n"/>
      <c r="H112" s="21">
        <f>0.250000*103137.731</f>
        <v/>
      </c>
      <c r="I112" s="21">
        <f>0.250000*127142.024</f>
        <v/>
      </c>
      <c r="J112" s="21">
        <f>0.250000*152437.336</f>
        <v/>
      </c>
      <c r="K112" s="87">
        <f>J112*(1+Assumptions!$I$83)</f>
        <v/>
      </c>
      <c r="L112" s="87">
        <f>K112*(1+Assumptions!$I$83)</f>
        <v/>
      </c>
      <c r="M112" s="87">
        <f>L112*(1+Assumptions!$I$83)</f>
        <v/>
      </c>
      <c r="N112" s="87">
        <f>M112*(1+Assumptions!$I$83)</f>
        <v/>
      </c>
      <c r="O112" s="87">
        <f>N112*(1+Assumptions!$I$83)</f>
        <v/>
      </c>
      <c r="P112" s="1" t="n"/>
    </row>
    <row r="113">
      <c r="A113" s="16" t="n"/>
      <c r="B113" s="16" t="n"/>
      <c r="C113" s="23" t="inlineStr">
        <is>
          <t>Savings — Interest Expense</t>
        </is>
      </c>
      <c r="D113" s="16" t="n"/>
      <c r="E113" s="16" t="n"/>
      <c r="F113" s="18" t="inlineStr">
        <is>
          <t>(KES MM)</t>
        </is>
      </c>
      <c r="G113" s="16" t="n"/>
      <c r="H113" s="84" t="n"/>
      <c r="I113" s="84" t="n"/>
      <c r="J113" s="84" t="n"/>
      <c r="K113" s="85">
        <f>K112*Assumptions!$I$87</f>
        <v/>
      </c>
      <c r="L113" s="85">
        <f>L112*Assumptions!$I$87</f>
        <v/>
      </c>
      <c r="M113" s="85">
        <f>M112*Assumptions!$I$87</f>
        <v/>
      </c>
      <c r="N113" s="85">
        <f>N112*Assumptions!$I$87</f>
        <v/>
      </c>
      <c r="O113" s="85">
        <f>O112*Assumptions!$I$87</f>
        <v/>
      </c>
      <c r="P113" s="16" t="n"/>
    </row>
    <row r="114">
      <c r="A114" s="16" t="n"/>
      <c r="B114" s="16" t="n"/>
      <c r="C114" s="23" t="inlineStr">
        <is>
          <t>Term / Fixed Deposits — Balance</t>
        </is>
      </c>
      <c r="D114" s="16" t="n"/>
      <c r="E114" s="16" t="n"/>
      <c r="F114" s="18" t="inlineStr">
        <is>
          <t>(KES MM)</t>
        </is>
      </c>
      <c r="G114" s="16" t="n"/>
      <c r="H114" s="74">
        <f>0.350000*103137.731</f>
        <v/>
      </c>
      <c r="I114" s="74">
        <f>0.350000*127142.024</f>
        <v/>
      </c>
      <c r="J114" s="74">
        <f>0.350000*152437.336</f>
        <v/>
      </c>
      <c r="K114" s="85">
        <f>J114*(1+Assumptions!$J$83)</f>
        <v/>
      </c>
      <c r="L114" s="85">
        <f>K114*(1+Assumptions!$J$83)</f>
        <v/>
      </c>
      <c r="M114" s="85">
        <f>L114*(1+Assumptions!$J$83)</f>
        <v/>
      </c>
      <c r="N114" s="85">
        <f>M114*(1+Assumptions!$J$83)</f>
        <v/>
      </c>
      <c r="O114" s="85">
        <f>N114*(1+Assumptions!$J$83)</f>
        <v/>
      </c>
      <c r="P114" s="16" t="n"/>
    </row>
    <row r="115">
      <c r="A115" s="1" t="n"/>
      <c r="B115" s="1" t="n"/>
      <c r="C115" s="5" t="inlineStr">
        <is>
          <t>Term / Fixed Deposits — Interest Expense</t>
        </is>
      </c>
      <c r="D115" s="1" t="n"/>
      <c r="E115" s="1" t="n"/>
      <c r="F115" s="20" t="inlineStr">
        <is>
          <t>(KES MM)</t>
        </is>
      </c>
      <c r="G115" s="1" t="n"/>
      <c r="H115" s="86" t="n"/>
      <c r="I115" s="86" t="n"/>
      <c r="J115" s="86" t="n"/>
      <c r="K115" s="87">
        <f>K114*Assumptions!$J$87</f>
        <v/>
      </c>
      <c r="L115" s="87">
        <f>L114*Assumptions!$J$87</f>
        <v/>
      </c>
      <c r="M115" s="87">
        <f>M114*Assumptions!$J$87</f>
        <v/>
      </c>
      <c r="N115" s="87">
        <f>N114*Assumptions!$J$87</f>
        <v/>
      </c>
      <c r="O115" s="87">
        <f>O114*Assumptions!$J$87</f>
        <v/>
      </c>
      <c r="P115" s="1" t="n"/>
    </row>
    <row r="116">
      <c r="A116" s="1" t="n"/>
      <c r="B116" s="1" t="n"/>
      <c r="C116" s="5" t="inlineStr">
        <is>
          <t>Wholesale / Interbank — Balance</t>
        </is>
      </c>
      <c r="D116" s="1" t="n"/>
      <c r="E116" s="1" t="n"/>
      <c r="F116" s="20" t="inlineStr">
        <is>
          <t>(KES MM)</t>
        </is>
      </c>
      <c r="G116" s="1" t="n"/>
      <c r="H116" s="21">
        <f>0.100000*103137.731</f>
        <v/>
      </c>
      <c r="I116" s="21">
        <f>0.100000*127142.024</f>
        <v/>
      </c>
      <c r="J116" s="21">
        <f>0.100000*152437.336</f>
        <v/>
      </c>
      <c r="K116" s="87">
        <f>J116*(1+Assumptions!$K$83)</f>
        <v/>
      </c>
      <c r="L116" s="87">
        <f>K116*(1+Assumptions!$K$83)</f>
        <v/>
      </c>
      <c r="M116" s="87">
        <f>L116*(1+Assumptions!$K$83)</f>
        <v/>
      </c>
      <c r="N116" s="87">
        <f>M116*(1+Assumptions!$K$83)</f>
        <v/>
      </c>
      <c r="O116" s="87">
        <f>N116*(1+Assumptions!$K$83)</f>
        <v/>
      </c>
      <c r="P116" s="1" t="n"/>
    </row>
    <row r="117">
      <c r="A117" s="16" t="n"/>
      <c r="B117" s="16" t="n"/>
      <c r="C117" s="23" t="inlineStr">
        <is>
          <t>Wholesale / Interbank — Interest Expense</t>
        </is>
      </c>
      <c r="D117" s="16" t="n"/>
      <c r="E117" s="16" t="n"/>
      <c r="F117" s="18" t="inlineStr">
        <is>
          <t>(KES MM)</t>
        </is>
      </c>
      <c r="G117" s="16" t="n"/>
      <c r="H117" s="84" t="n"/>
      <c r="I117" s="84" t="n"/>
      <c r="J117" s="84" t="n"/>
      <c r="K117" s="85">
        <f>K116*Assumptions!$K$87</f>
        <v/>
      </c>
      <c r="L117" s="85">
        <f>L116*Assumptions!$K$87</f>
        <v/>
      </c>
      <c r="M117" s="85">
        <f>M116*Assumptions!$K$87</f>
        <v/>
      </c>
      <c r="N117" s="85">
        <f>N116*Assumptions!$K$87</f>
        <v/>
      </c>
      <c r="O117" s="85">
        <f>O116*Assumptions!$K$87</f>
        <v/>
      </c>
      <c r="P117" s="16" t="n"/>
    </row>
    <row r="118" ht="15" customHeight="1">
      <c r="A118" s="88" t="n"/>
      <c r="B118" s="88" t="n"/>
      <c r="C118" s="89" t="inlineStr">
        <is>
          <t>Total Deposits</t>
        </is>
      </c>
      <c r="D118" s="88" t="n"/>
      <c r="E118" s="88" t="n"/>
      <c r="F118" s="88" t="n"/>
      <c r="G118" s="88" t="n"/>
      <c r="H118" s="90">
        <f>H110+H112+H114+H116</f>
        <v/>
      </c>
      <c r="I118" s="90">
        <f>I110+I112+I114+I116</f>
        <v/>
      </c>
      <c r="J118" s="90">
        <f>J110+J112+J114+J116</f>
        <v/>
      </c>
      <c r="K118" s="90">
        <f>K110+K112+K114+K116</f>
        <v/>
      </c>
      <c r="L118" s="90">
        <f>L110+L112+L114+L116</f>
        <v/>
      </c>
      <c r="M118" s="90">
        <f>M110+M112+M114+M116</f>
        <v/>
      </c>
      <c r="N118" s="90">
        <f>N110+N112+N114+N116</f>
        <v/>
      </c>
      <c r="O118" s="90">
        <f>O110+O112+O114+O116</f>
        <v/>
      </c>
      <c r="P118" s="88" t="n"/>
    </row>
    <row r="119" ht="15" customHeight="1">
      <c r="A119" s="88" t="n"/>
      <c r="B119" s="88" t="n"/>
      <c r="C119" s="89" t="inlineStr">
        <is>
          <t>Total Interest Expense</t>
        </is>
      </c>
      <c r="D119" s="88" t="n"/>
      <c r="E119" s="88" t="n"/>
      <c r="F119" s="88" t="n"/>
      <c r="G119" s="88" t="n"/>
      <c r="H119" s="90" t="n">
        <v>6599.892</v>
      </c>
      <c r="I119" s="90" t="n">
        <v>9872.405000000001</v>
      </c>
      <c r="J119" s="90" t="n">
        <v>9114.627</v>
      </c>
      <c r="K119" s="90">
        <f>K111+K113+K115+K117</f>
        <v/>
      </c>
      <c r="L119" s="90">
        <f>L111+L113+L115+L117</f>
        <v/>
      </c>
      <c r="M119" s="90">
        <f>M111+M113+M115+M117</f>
        <v/>
      </c>
      <c r="N119" s="90">
        <f>N111+N113+N115+N117</f>
        <v/>
      </c>
      <c r="O119" s="90">
        <f>O111+O113+O115+O117</f>
        <v/>
      </c>
      <c r="P119" s="88" t="n"/>
    </row>
    <row r="120" ht="5" customHeight="1"/>
    <row r="121">
      <c r="C121" s="32" t="inlineStr">
        <is>
          <t>Interest Income &amp; Net Interest Income</t>
        </is>
      </c>
    </row>
    <row r="122">
      <c r="A122" s="1" t="n"/>
      <c r="B122" s="1" t="n"/>
      <c r="C122" s="5" t="inlineStr">
        <is>
          <t>Loan Interest Income</t>
        </is>
      </c>
      <c r="D122" s="1" t="n"/>
      <c r="E122" s="1" t="n"/>
      <c r="F122" s="20" t="inlineStr">
        <is>
          <t>(KES MM)</t>
        </is>
      </c>
      <c r="G122" s="1" t="n"/>
      <c r="H122" s="86" t="n"/>
      <c r="I122" s="86" t="n"/>
      <c r="J122" s="86" t="n"/>
      <c r="K122" s="87">
        <f>K20*Assumptions!$H$54+K32*Assumptions!$I$54+K44*Assumptions!$J$54</f>
        <v/>
      </c>
      <c r="L122" s="87">
        <f>L20*Assumptions!$H$54+L32*Assumptions!$I$54+L44*Assumptions!$J$54</f>
        <v/>
      </c>
      <c r="M122" s="87">
        <f>M20*Assumptions!$H$54+M32*Assumptions!$I$54+M44*Assumptions!$J$54</f>
        <v/>
      </c>
      <c r="N122" s="87">
        <f>N20*Assumptions!$H$54+N32*Assumptions!$I$54+N44*Assumptions!$J$54</f>
        <v/>
      </c>
      <c r="O122" s="87">
        <f>O20*Assumptions!$H$54+O32*Assumptions!$I$54+O44*Assumptions!$J$54</f>
        <v/>
      </c>
      <c r="P122" s="1" t="n"/>
    </row>
    <row r="123">
      <c r="A123" s="1" t="n"/>
      <c r="B123" s="1" t="n"/>
      <c r="C123" s="80" t="inlineStr">
        <is>
          <t>Total Interest Income</t>
        </is>
      </c>
      <c r="D123" s="1" t="n"/>
      <c r="E123" s="1" t="n"/>
      <c r="F123" s="20" t="inlineStr">
        <is>
          <t>(KES MM)</t>
        </is>
      </c>
      <c r="G123" s="1" t="n"/>
      <c r="H123" s="92" t="n">
        <v>16211.094</v>
      </c>
      <c r="I123" s="92" t="n">
        <v>20958.744</v>
      </c>
      <c r="J123" s="92" t="n">
        <v>25168.006</v>
      </c>
      <c r="K123" s="81">
        <f>K122+K107</f>
        <v/>
      </c>
      <c r="L123" s="81">
        <f>L122+L107</f>
        <v/>
      </c>
      <c r="M123" s="81">
        <f>M122+M107</f>
        <v/>
      </c>
      <c r="N123" s="81">
        <f>N122+N107</f>
        <v/>
      </c>
      <c r="O123" s="81">
        <f>O122+O107</f>
        <v/>
      </c>
      <c r="P123" s="1" t="n"/>
    </row>
    <row r="124" ht="15" customHeight="1">
      <c r="A124" s="88" t="n"/>
      <c r="B124" s="88" t="n"/>
      <c r="C124" s="89" t="inlineStr">
        <is>
          <t>Net Interest Income (NII)</t>
        </is>
      </c>
      <c r="D124" s="88" t="n"/>
      <c r="E124" s="88" t="n"/>
      <c r="F124" s="88" t="n"/>
      <c r="G124" s="88" t="n"/>
      <c r="H124" s="90">
        <f>H123-H119</f>
        <v/>
      </c>
      <c r="I124" s="90">
        <f>I123-I119</f>
        <v/>
      </c>
      <c r="J124" s="90">
        <f>J123-J119</f>
        <v/>
      </c>
      <c r="K124" s="90">
        <f>K123-K119</f>
        <v/>
      </c>
      <c r="L124" s="90">
        <f>L123-L119</f>
        <v/>
      </c>
      <c r="M124" s="90">
        <f>M123-M119</f>
        <v/>
      </c>
      <c r="N124" s="90">
        <f>N123-N119</f>
        <v/>
      </c>
      <c r="O124" s="90">
        <f>O123-O119</f>
        <v/>
      </c>
      <c r="P124" s="88" t="n"/>
    </row>
    <row r="125" ht="8" customHeight="1"/>
    <row r="126" ht="15" customHeight="1">
      <c r="A126" s="11" t="n"/>
      <c r="B126" s="11" t="n"/>
      <c r="C126" s="83" t="inlineStr">
        <is>
          <t>INCOME STATEMENT</t>
        </is>
      </c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</row>
    <row r="127" ht="14" customHeight="1">
      <c r="A127" s="13" t="n"/>
      <c r="B127" s="13" t="n"/>
      <c r="C127" s="14" t="inlineStr"/>
      <c r="D127" s="13" t="n"/>
      <c r="E127" s="13" t="n"/>
      <c r="F127" s="13" t="n"/>
      <c r="G127" s="13" t="n"/>
      <c r="H127" s="15">
        <f>H11</f>
        <v/>
      </c>
      <c r="I127" s="15">
        <f>I11</f>
        <v/>
      </c>
      <c r="J127" s="15">
        <f>J11</f>
        <v/>
      </c>
      <c r="K127" s="15">
        <f>K11</f>
        <v/>
      </c>
      <c r="L127" s="15">
        <f>L11</f>
        <v/>
      </c>
      <c r="M127" s="15">
        <f>M11</f>
        <v/>
      </c>
      <c r="N127" s="15">
        <f>N11</f>
        <v/>
      </c>
      <c r="O127" s="15">
        <f>O11</f>
        <v/>
      </c>
      <c r="P127" s="13" t="n"/>
    </row>
    <row r="128" ht="5" customHeight="1"/>
    <row r="129">
      <c r="A129" s="1" t="n"/>
      <c r="B129" s="1" t="n"/>
      <c r="C129" s="5" t="inlineStr">
        <is>
          <t>Non-Interest Income</t>
        </is>
      </c>
      <c r="D129" s="1" t="n"/>
      <c r="E129" s="1" t="n"/>
      <c r="F129" s="20" t="inlineStr">
        <is>
          <t>(KES MM)</t>
        </is>
      </c>
      <c r="G129" s="1" t="n"/>
      <c r="H129" s="86" t="n">
        <v>3506.183</v>
      </c>
      <c r="I129" s="86" t="n">
        <v>3471.058</v>
      </c>
      <c r="J129" s="86" t="n">
        <v>3873.635</v>
      </c>
      <c r="K129" s="87">
        <f>K118*Assumptions!$H$95</f>
        <v/>
      </c>
      <c r="L129" s="87">
        <f>L118*Assumptions!$H$95</f>
        <v/>
      </c>
      <c r="M129" s="87">
        <f>M118*Assumptions!$H$95</f>
        <v/>
      </c>
      <c r="N129" s="87">
        <f>N118*Assumptions!$H$95</f>
        <v/>
      </c>
      <c r="O129" s="87">
        <f>O118*Assumptions!$H$95</f>
        <v/>
      </c>
      <c r="P129" s="1" t="n"/>
    </row>
    <row r="130" ht="5" customHeight="1"/>
    <row r="131">
      <c r="C131" s="32" t="inlineStr">
        <is>
          <t>Operating Expenses</t>
        </is>
      </c>
    </row>
    <row r="132">
      <c r="A132" s="16" t="n"/>
      <c r="B132" s="16" t="n"/>
      <c r="C132" s="23" t="inlineStr">
        <is>
          <t>Staff Costs</t>
        </is>
      </c>
      <c r="D132" s="16" t="n"/>
      <c r="E132" s="16" t="n"/>
      <c r="F132" s="18" t="inlineStr">
        <is>
          <t>(KES MM)</t>
        </is>
      </c>
      <c r="G132" s="16" t="n"/>
      <c r="H132" s="84" t="n"/>
      <c r="I132" s="84" t="n"/>
      <c r="J132" s="84" t="n"/>
      <c r="K132" s="85">
        <f>Assumptions!$H$98*(1+Assumptions!$H$101)^0</f>
        <v/>
      </c>
      <c r="L132" s="85">
        <f>Assumptions!$H$98*(1+Assumptions!$H$101)^1</f>
        <v/>
      </c>
      <c r="M132" s="85">
        <f>Assumptions!$H$98*(1+Assumptions!$H$101)^2</f>
        <v/>
      </c>
      <c r="N132" s="85">
        <f>Assumptions!$H$98*(1+Assumptions!$H$101)^3</f>
        <v/>
      </c>
      <c r="O132" s="85">
        <f>Assumptions!$H$98*(1+Assumptions!$H$101)^4</f>
        <v/>
      </c>
      <c r="P132" s="16" t="n"/>
    </row>
    <row r="133">
      <c r="A133" s="1" t="n"/>
      <c r="B133" s="1" t="n"/>
      <c r="C133" s="5" t="inlineStr">
        <is>
          <t>Premises &amp; Branch Network</t>
        </is>
      </c>
      <c r="D133" s="1" t="n"/>
      <c r="E133" s="1" t="n"/>
      <c r="F133" s="20" t="inlineStr">
        <is>
          <t>(KES MM)</t>
        </is>
      </c>
      <c r="G133" s="1" t="n"/>
      <c r="H133" s="86" t="n"/>
      <c r="I133" s="86" t="n"/>
      <c r="J133" s="86" t="n"/>
      <c r="K133" s="87">
        <f>Assumptions!$H$105*(1+Assumptions!$H$108)^0</f>
        <v/>
      </c>
      <c r="L133" s="87">
        <f>Assumptions!$H$105*(1+Assumptions!$H$108)^1</f>
        <v/>
      </c>
      <c r="M133" s="87">
        <f>Assumptions!$H$105*(1+Assumptions!$H$108)^2</f>
        <v/>
      </c>
      <c r="N133" s="87">
        <f>Assumptions!$H$105*(1+Assumptions!$H$108)^3</f>
        <v/>
      </c>
      <c r="O133" s="87">
        <f>Assumptions!$H$105*(1+Assumptions!$H$108)^4</f>
        <v/>
      </c>
      <c r="P133" s="1" t="n"/>
    </row>
    <row r="134">
      <c r="A134" s="16" t="n"/>
      <c r="B134" s="16" t="n"/>
      <c r="C134" s="23" t="inlineStr">
        <is>
          <t>Technology &amp; Digital</t>
        </is>
      </c>
      <c r="D134" s="16" t="n"/>
      <c r="E134" s="16" t="n"/>
      <c r="F134" s="18" t="inlineStr">
        <is>
          <t>(KES MM)</t>
        </is>
      </c>
      <c r="G134" s="16" t="n"/>
      <c r="H134" s="84" t="n"/>
      <c r="I134" s="84" t="n"/>
      <c r="J134" s="84" t="n"/>
      <c r="K134" s="85">
        <f>Assumptions!$H$112*(1+Assumptions!$H$115)^0</f>
        <v/>
      </c>
      <c r="L134" s="85">
        <f>Assumptions!$H$112*(1+Assumptions!$H$115)^1</f>
        <v/>
      </c>
      <c r="M134" s="85">
        <f>Assumptions!$H$112*(1+Assumptions!$H$115)^2</f>
        <v/>
      </c>
      <c r="N134" s="85">
        <f>Assumptions!$H$112*(1+Assumptions!$H$115)^3</f>
        <v/>
      </c>
      <c r="O134" s="85">
        <f>Assumptions!$H$112*(1+Assumptions!$H$115)^4</f>
        <v/>
      </c>
      <c r="P134" s="16" t="n"/>
    </row>
    <row r="135">
      <c r="A135" s="1" t="n"/>
      <c r="B135" s="1" t="n"/>
      <c r="C135" s="5" t="inlineStr">
        <is>
          <t>Other Operating Expenses</t>
        </is>
      </c>
      <c r="D135" s="1" t="n"/>
      <c r="E135" s="1" t="n"/>
      <c r="F135" s="20" t="inlineStr">
        <is>
          <t>(KES MM)</t>
        </is>
      </c>
      <c r="G135" s="1" t="n"/>
      <c r="H135" s="86" t="n"/>
      <c r="I135" s="86" t="n"/>
      <c r="J135" s="86" t="n"/>
      <c r="K135" s="87">
        <f>Assumptions!$H$119*(1+Assumptions!$H$122)^0</f>
        <v/>
      </c>
      <c r="L135" s="87">
        <f>Assumptions!$H$119*(1+Assumptions!$H$122)^1</f>
        <v/>
      </c>
      <c r="M135" s="87">
        <f>Assumptions!$H$119*(1+Assumptions!$H$122)^2</f>
        <v/>
      </c>
      <c r="N135" s="87">
        <f>Assumptions!$H$119*(1+Assumptions!$H$122)^3</f>
        <v/>
      </c>
      <c r="O135" s="87">
        <f>Assumptions!$H$119*(1+Assumptions!$H$122)^4</f>
        <v/>
      </c>
      <c r="P135" s="1" t="n"/>
    </row>
    <row r="136" ht="15" customHeight="1">
      <c r="A136" s="88" t="n"/>
      <c r="B136" s="88" t="n"/>
      <c r="C136" s="89" t="inlineStr">
        <is>
          <t>Total Operating Expenses</t>
        </is>
      </c>
      <c r="D136" s="88" t="n"/>
      <c r="E136" s="88" t="n"/>
      <c r="F136" s="88" t="n"/>
      <c r="G136" s="88" t="n"/>
      <c r="H136" s="90" t="n">
        <v>7984.8</v>
      </c>
      <c r="I136" s="90" t="n">
        <v>9509.072</v>
      </c>
      <c r="J136" s="90" t="n">
        <v>10968.862</v>
      </c>
      <c r="K136" s="90">
        <f>K132+K133+K134+K135</f>
        <v/>
      </c>
      <c r="L136" s="90">
        <f>L132+L133+L134+L135</f>
        <v/>
      </c>
      <c r="M136" s="90">
        <f>M132+M133+M134+M135</f>
        <v/>
      </c>
      <c r="N136" s="90">
        <f>N132+N133+N134+N135</f>
        <v/>
      </c>
      <c r="O136" s="90">
        <f>O132+O133+O134+O135</f>
        <v/>
      </c>
      <c r="P136" s="88" t="n"/>
    </row>
    <row r="137" ht="5" customHeight="1"/>
    <row r="138" ht="15" customHeight="1">
      <c r="A138" s="88" t="n"/>
      <c r="B138" s="88" t="n"/>
      <c r="C138" s="89" t="inlineStr">
        <is>
          <t>Profit Before Tax (PBT)</t>
        </is>
      </c>
      <c r="D138" s="88" t="n"/>
      <c r="E138" s="88" t="n"/>
      <c r="F138" s="88" t="n"/>
      <c r="G138" s="88" t="n"/>
      <c r="H138" s="90" t="n">
        <v>3057.703</v>
      </c>
      <c r="I138" s="90" t="n">
        <v>3668.017</v>
      </c>
      <c r="J138" s="90" t="n">
        <v>6395.305</v>
      </c>
      <c r="K138" s="90">
        <f>K124+K129-K136-K62</f>
        <v/>
      </c>
      <c r="L138" s="90">
        <f>L124+L129-L136-L62</f>
        <v/>
      </c>
      <c r="M138" s="90">
        <f>M124+M129-M136-M62</f>
        <v/>
      </c>
      <c r="N138" s="90">
        <f>N124+N129-N136-N62</f>
        <v/>
      </c>
      <c r="O138" s="90">
        <f>O124+O129-O136-O62</f>
        <v/>
      </c>
      <c r="P138" s="88" t="n"/>
    </row>
    <row r="139">
      <c r="A139" s="1" t="n"/>
      <c r="B139" s="1" t="n"/>
      <c r="C139" s="5" t="inlineStr">
        <is>
          <t>Income Tax</t>
        </is>
      </c>
      <c r="D139" s="1" t="n"/>
      <c r="E139" s="1" t="n"/>
      <c r="F139" s="20" t="inlineStr">
        <is>
          <t>(KES MM)</t>
        </is>
      </c>
      <c r="G139" s="1" t="n"/>
      <c r="H139" s="86" t="n">
        <v>647.8099999999999</v>
      </c>
      <c r="I139" s="86" t="n">
        <v>406.354</v>
      </c>
      <c r="J139" s="86" t="n">
        <v>864.655</v>
      </c>
      <c r="K139" s="87">
        <f>MAX(0,K138*Assumptions!$H$13)</f>
        <v/>
      </c>
      <c r="L139" s="87">
        <f>MAX(0,L138*Assumptions!$H$13)</f>
        <v/>
      </c>
      <c r="M139" s="87">
        <f>MAX(0,M138*Assumptions!$H$13)</f>
        <v/>
      </c>
      <c r="N139" s="87">
        <f>MAX(0,N138*Assumptions!$H$13)</f>
        <v/>
      </c>
      <c r="O139" s="87">
        <f>MAX(0,O138*Assumptions!$H$13)</f>
        <v/>
      </c>
      <c r="P139" s="1" t="n"/>
    </row>
    <row r="140" ht="15" customHeight="1">
      <c r="A140" s="11" t="n"/>
      <c r="B140" s="11" t="n"/>
      <c r="C140" s="83" t="inlineStr">
        <is>
          <t>NET PROFIT AFTER TAX (PAT)</t>
        </is>
      </c>
      <c r="D140" s="11" t="n"/>
      <c r="E140" s="11" t="n"/>
      <c r="F140" s="11" t="n"/>
      <c r="G140" s="11" t="n"/>
      <c r="H140" s="93">
        <f>H138-H139</f>
        <v/>
      </c>
      <c r="I140" s="93">
        <f>I138-I139</f>
        <v/>
      </c>
      <c r="J140" s="93">
        <f>J138-J139</f>
        <v/>
      </c>
      <c r="K140" s="93">
        <f>K138-K139</f>
        <v/>
      </c>
      <c r="L140" s="93">
        <f>L138-L139</f>
        <v/>
      </c>
      <c r="M140" s="93">
        <f>M138-M139</f>
        <v/>
      </c>
      <c r="N140" s="93">
        <f>N138-N139</f>
        <v/>
      </c>
      <c r="O140" s="93">
        <f>O138-O139</f>
        <v/>
      </c>
      <c r="P140" s="11" t="n"/>
    </row>
    <row r="141">
      <c r="A141" s="1" t="n"/>
      <c r="B141" s="1" t="n"/>
      <c r="C141" s="5" t="inlineStr">
        <is>
          <t>Dividends Paid (illustrative, modeled payout ratio)</t>
        </is>
      </c>
      <c r="D141" s="1" t="n"/>
      <c r="E141" s="1" t="n"/>
      <c r="F141" s="20" t="inlineStr">
        <is>
          <t>(KES MM)</t>
        </is>
      </c>
      <c r="G141" s="1" t="n"/>
      <c r="H141" s="87">
        <f>H140*Assumptions!$H$14</f>
        <v/>
      </c>
      <c r="I141" s="87">
        <f>I140*Assumptions!$H$14</f>
        <v/>
      </c>
      <c r="J141" s="87">
        <f>J140*Assumptions!$H$14</f>
        <v/>
      </c>
      <c r="K141" s="87">
        <f>K140*Assumptions!$H$14</f>
        <v/>
      </c>
      <c r="L141" s="87">
        <f>L140*Assumptions!$H$14</f>
        <v/>
      </c>
      <c r="M141" s="87">
        <f>M140*Assumptions!$H$14</f>
        <v/>
      </c>
      <c r="N141" s="87">
        <f>N140*Assumptions!$H$14</f>
        <v/>
      </c>
      <c r="O141" s="87">
        <f>O140*Assumptions!$H$14</f>
        <v/>
      </c>
      <c r="P141" s="1" t="n"/>
    </row>
    <row r="142" ht="8" customHeight="1"/>
    <row r="143" ht="15" customHeight="1">
      <c r="A143" s="11" t="n"/>
      <c r="B143" s="11" t="n"/>
      <c r="C143" s="83" t="inlineStr">
        <is>
          <t>CASH FLOW STATEMENT</t>
        </is>
      </c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</row>
    <row r="144" ht="14" customHeight="1">
      <c r="A144" s="13" t="n"/>
      <c r="B144" s="13" t="n"/>
      <c r="C144" s="14" t="inlineStr"/>
      <c r="D144" s="13" t="n"/>
      <c r="E144" s="13" t="n"/>
      <c r="F144" s="13" t="n"/>
      <c r="G144" s="13" t="n"/>
      <c r="H144" s="15">
        <f>H11</f>
        <v/>
      </c>
      <c r="I144" s="15">
        <f>I11</f>
        <v/>
      </c>
      <c r="J144" s="15">
        <f>J11</f>
        <v/>
      </c>
      <c r="K144" s="15">
        <f>K11</f>
        <v/>
      </c>
      <c r="L144" s="15">
        <f>L11</f>
        <v/>
      </c>
      <c r="M144" s="15">
        <f>M11</f>
        <v/>
      </c>
      <c r="N144" s="15">
        <f>N11</f>
        <v/>
      </c>
      <c r="O144" s="15">
        <f>O11</f>
        <v/>
      </c>
      <c r="P144" s="13" t="n"/>
    </row>
    <row r="145" ht="5" customHeight="1"/>
    <row r="146">
      <c r="A146" s="1" t="n"/>
      <c r="B146" s="1" t="n"/>
      <c r="C146" s="5" t="inlineStr">
        <is>
          <t>Net PP&amp;E</t>
        </is>
      </c>
      <c r="D146" s="1" t="n"/>
      <c r="E146" s="1" t="n"/>
      <c r="F146" s="20" t="inlineStr">
        <is>
          <t>(KES MM)</t>
        </is>
      </c>
      <c r="G146" s="1" t="n"/>
      <c r="H146" s="86" t="n">
        <v>2487.309</v>
      </c>
      <c r="I146" s="86" t="n">
        <v>2364.951</v>
      </c>
      <c r="J146" s="86" t="n">
        <v>2400.076</v>
      </c>
      <c r="K146" s="21">
        <f>J146+K148-K147</f>
        <v/>
      </c>
      <c r="L146" s="21">
        <f>K146+L148-L147</f>
        <v/>
      </c>
      <c r="M146" s="21">
        <f>L146+M148-M147</f>
        <v/>
      </c>
      <c r="N146" s="21">
        <f>M146+N148-N147</f>
        <v/>
      </c>
      <c r="O146" s="21">
        <f>N146+O148-O147</f>
        <v/>
      </c>
      <c r="P146" s="1" t="n"/>
    </row>
    <row r="147">
      <c r="A147" s="1" t="n"/>
      <c r="B147" s="1" t="n"/>
      <c r="C147" s="5" t="inlineStr">
        <is>
          <t>Depreciation &amp; Amortisation</t>
        </is>
      </c>
      <c r="D147" s="1" t="n"/>
      <c r="E147" s="1" t="n"/>
      <c r="F147" s="20" t="inlineStr">
        <is>
          <t>(KES MM)</t>
        </is>
      </c>
      <c r="G147" s="1" t="n"/>
      <c r="H147" s="86" t="n"/>
      <c r="I147" s="86" t="n"/>
      <c r="J147" s="86" t="n"/>
      <c r="K147" s="87">
        <f>J146*Assumptions!$H$142</f>
        <v/>
      </c>
      <c r="L147" s="87">
        <f>K146*Assumptions!$H$142</f>
        <v/>
      </c>
      <c r="M147" s="87">
        <f>L146*Assumptions!$H$142</f>
        <v/>
      </c>
      <c r="N147" s="87">
        <f>M146*Assumptions!$H$142</f>
        <v/>
      </c>
      <c r="O147" s="87">
        <f>N146*Assumptions!$H$142</f>
        <v/>
      </c>
      <c r="P147" s="1" t="n"/>
    </row>
    <row r="148">
      <c r="A148" s="1" t="n"/>
      <c r="B148" s="1" t="n"/>
      <c r="C148" s="5" t="inlineStr">
        <is>
          <t>Capital Expenditure</t>
        </is>
      </c>
      <c r="D148" s="1" t="n"/>
      <c r="E148" s="1" t="n"/>
      <c r="F148" s="20" t="inlineStr">
        <is>
          <t>(KES MM)</t>
        </is>
      </c>
      <c r="G148" s="1" t="n"/>
      <c r="H148" s="86" t="n"/>
      <c r="I148" s="86" t="n"/>
      <c r="J148" s="86" t="n"/>
      <c r="K148" s="87">
        <f>J146*Assumptions!$H$143</f>
        <v/>
      </c>
      <c r="L148" s="87">
        <f>K146*Assumptions!$H$143</f>
        <v/>
      </c>
      <c r="M148" s="87">
        <f>L146*Assumptions!$H$143</f>
        <v/>
      </c>
      <c r="N148" s="87">
        <f>M146*Assumptions!$H$143</f>
        <v/>
      </c>
      <c r="O148" s="87">
        <f>N146*Assumptions!$H$143</f>
        <v/>
      </c>
      <c r="P148" s="1" t="n"/>
    </row>
    <row r="149" ht="5" customHeight="1"/>
    <row r="150">
      <c r="C150" s="32" t="inlineStr">
        <is>
          <t>Other Assets &amp; Other Liabilities — Detail</t>
        </is>
      </c>
    </row>
    <row r="151">
      <c r="A151" s="16" t="n"/>
      <c r="B151" s="16" t="n"/>
      <c r="C151" s="23" t="inlineStr">
        <is>
          <t>Investment in Subsidiaries</t>
        </is>
      </c>
      <c r="D151" s="16" t="n"/>
      <c r="E151" s="16" t="n"/>
      <c r="F151" s="18" t="inlineStr">
        <is>
          <t>(KES MM)</t>
        </is>
      </c>
      <c r="G151" s="16" t="n"/>
      <c r="H151" s="84" t="n">
        <v>10</v>
      </c>
      <c r="I151" s="84" t="n">
        <v>12.347</v>
      </c>
      <c r="J151" s="84" t="n">
        <v>53.254</v>
      </c>
      <c r="K151" s="85">
        <f>J151*(1+Assumptions!$H$145)</f>
        <v/>
      </c>
      <c r="L151" s="85">
        <f>K151*(1+Assumptions!$H$145)</f>
        <v/>
      </c>
      <c r="M151" s="85">
        <f>L151*(1+Assumptions!$H$145)</f>
        <v/>
      </c>
      <c r="N151" s="85">
        <f>M151*(1+Assumptions!$H$145)</f>
        <v/>
      </c>
      <c r="O151" s="85">
        <f>N151*(1+Assumptions!$H$145)</f>
        <v/>
      </c>
      <c r="P151" s="16" t="n"/>
    </row>
    <row r="152">
      <c r="A152" s="1" t="n"/>
      <c r="B152" s="1" t="n"/>
      <c r="C152" s="5" t="inlineStr">
        <is>
          <t>Investment Properties</t>
        </is>
      </c>
      <c r="D152" s="1" t="n"/>
      <c r="E152" s="1" t="n"/>
      <c r="F152" s="20" t="inlineStr">
        <is>
          <t>(KES MM)</t>
        </is>
      </c>
      <c r="G152" s="1" t="n"/>
      <c r="H152" s="86" t="n">
        <v>28.6</v>
      </c>
      <c r="I152" s="86" t="n">
        <v>32.5</v>
      </c>
      <c r="J152" s="86" t="n">
        <v>70.59999999999999</v>
      </c>
      <c r="K152" s="87">
        <f>J152*(1+Assumptions!$H$145)</f>
        <v/>
      </c>
      <c r="L152" s="87">
        <f>K152*(1+Assumptions!$H$145)</f>
        <v/>
      </c>
      <c r="M152" s="87">
        <f>L152*(1+Assumptions!$H$145)</f>
        <v/>
      </c>
      <c r="N152" s="87">
        <f>M152*(1+Assumptions!$H$145)</f>
        <v/>
      </c>
      <c r="O152" s="87">
        <f>N152*(1+Assumptions!$H$145)</f>
        <v/>
      </c>
      <c r="P152" s="1" t="n"/>
    </row>
    <row r="153">
      <c r="A153" s="16" t="n"/>
      <c r="B153" s="16" t="n"/>
      <c r="C153" s="23" t="inlineStr">
        <is>
          <t>Intangible Assets</t>
        </is>
      </c>
      <c r="D153" s="16" t="n"/>
      <c r="E153" s="16" t="n"/>
      <c r="F153" s="18" t="inlineStr">
        <is>
          <t>(KES MM)</t>
        </is>
      </c>
      <c r="G153" s="16" t="n"/>
      <c r="H153" s="84" t="n">
        <v>540.864</v>
      </c>
      <c r="I153" s="84" t="n">
        <v>467.911</v>
      </c>
      <c r="J153" s="84" t="n">
        <v>761.924</v>
      </c>
      <c r="K153" s="85">
        <f>J153*(1+Assumptions!$H$145)</f>
        <v/>
      </c>
      <c r="L153" s="85">
        <f>K153*(1+Assumptions!$H$145)</f>
        <v/>
      </c>
      <c r="M153" s="85">
        <f>L153*(1+Assumptions!$H$145)</f>
        <v/>
      </c>
      <c r="N153" s="85">
        <f>M153*(1+Assumptions!$H$145)</f>
        <v/>
      </c>
      <c r="O153" s="85">
        <f>N153*(1+Assumptions!$H$145)</f>
        <v/>
      </c>
      <c r="P153" s="16" t="n"/>
    </row>
    <row r="154">
      <c r="A154" s="1" t="n"/>
      <c r="B154" s="1" t="n"/>
      <c r="C154" s="5" t="inlineStr">
        <is>
          <t>Right-of-Use Assets</t>
        </is>
      </c>
      <c r="D154" s="1" t="n"/>
      <c r="E154" s="1" t="n"/>
      <c r="F154" s="20" t="inlineStr">
        <is>
          <t>(KES MM)</t>
        </is>
      </c>
      <c r="G154" s="1" t="n"/>
      <c r="H154" s="86" t="n">
        <v>760.152</v>
      </c>
      <c r="I154" s="86" t="n">
        <v>682.675</v>
      </c>
      <c r="J154" s="86" t="n">
        <v>1007.433</v>
      </c>
      <c r="K154" s="87">
        <f>J154*(1+Assumptions!$H$145)</f>
        <v/>
      </c>
      <c r="L154" s="87">
        <f>K154*(1+Assumptions!$H$145)</f>
        <v/>
      </c>
      <c r="M154" s="87">
        <f>L154*(1+Assumptions!$H$145)</f>
        <v/>
      </c>
      <c r="N154" s="87">
        <f>M154*(1+Assumptions!$H$145)</f>
        <v/>
      </c>
      <c r="O154" s="87">
        <f>N154*(1+Assumptions!$H$145)</f>
        <v/>
      </c>
      <c r="P154" s="1" t="n"/>
    </row>
    <row r="155">
      <c r="A155" s="16" t="n"/>
      <c r="B155" s="16" t="n"/>
      <c r="C155" s="23" t="inlineStr">
        <is>
          <t>Prepaid Operating Leases</t>
        </is>
      </c>
      <c r="D155" s="16" t="n"/>
      <c r="E155" s="16" t="n"/>
      <c r="F155" s="18" t="inlineStr">
        <is>
          <t>(KES MM)</t>
        </is>
      </c>
      <c r="G155" s="16" t="n"/>
      <c r="H155" s="84" t="n">
        <v>123.28</v>
      </c>
      <c r="I155" s="84" t="n">
        <v>118.643</v>
      </c>
      <c r="J155" s="84" t="n">
        <v>114.006</v>
      </c>
      <c r="K155" s="85">
        <f>J155*(1+Assumptions!$H$145)</f>
        <v/>
      </c>
      <c r="L155" s="85">
        <f>K155*(1+Assumptions!$H$145)</f>
        <v/>
      </c>
      <c r="M155" s="85">
        <f>L155*(1+Assumptions!$H$145)</f>
        <v/>
      </c>
      <c r="N155" s="85">
        <f>M155*(1+Assumptions!$H$145)</f>
        <v/>
      </c>
      <c r="O155" s="85">
        <f>N155*(1+Assumptions!$H$145)</f>
        <v/>
      </c>
      <c r="P155" s="16" t="n"/>
    </row>
    <row r="156">
      <c r="A156" s="1" t="n"/>
      <c r="B156" s="1" t="n"/>
      <c r="C156" s="5" t="inlineStr">
        <is>
          <t>Current Income Tax Asset</t>
        </is>
      </c>
      <c r="D156" s="1" t="n"/>
      <c r="E156" s="1" t="n"/>
      <c r="F156" s="20" t="inlineStr">
        <is>
          <t>(KES MM)</t>
        </is>
      </c>
      <c r="G156" s="1" t="n"/>
      <c r="H156" s="86" t="n">
        <v>37.361</v>
      </c>
      <c r="I156" s="86" t="n">
        <v>296.669</v>
      </c>
      <c r="J156" s="86" t="n">
        <v>0</v>
      </c>
      <c r="K156" s="87">
        <f>J156*(1+Assumptions!$H$145)</f>
        <v/>
      </c>
      <c r="L156" s="87">
        <f>K156*(1+Assumptions!$H$145)</f>
        <v/>
      </c>
      <c r="M156" s="87">
        <f>L156*(1+Assumptions!$H$145)</f>
        <v/>
      </c>
      <c r="N156" s="87">
        <f>M156*(1+Assumptions!$H$145)</f>
        <v/>
      </c>
      <c r="O156" s="87">
        <f>N156*(1+Assumptions!$H$145)</f>
        <v/>
      </c>
      <c r="P156" s="1" t="n"/>
    </row>
    <row r="157">
      <c r="A157" s="16" t="n"/>
      <c r="B157" s="16" t="n"/>
      <c r="C157" s="23" t="inlineStr">
        <is>
          <t>Deferred Income Tax Asset</t>
        </is>
      </c>
      <c r="D157" s="16" t="n"/>
      <c r="E157" s="16" t="n"/>
      <c r="F157" s="18" t="inlineStr">
        <is>
          <t>(KES MM)</t>
        </is>
      </c>
      <c r="G157" s="16" t="n"/>
      <c r="H157" s="84" t="n">
        <v>2274.049</v>
      </c>
      <c r="I157" s="84" t="n">
        <v>2878.804</v>
      </c>
      <c r="J157" s="84" t="n">
        <v>3314.679</v>
      </c>
      <c r="K157" s="85">
        <f>J157*(1+Assumptions!$H$145)</f>
        <v/>
      </c>
      <c r="L157" s="85">
        <f>K157*(1+Assumptions!$H$145)</f>
        <v/>
      </c>
      <c r="M157" s="85">
        <f>L157*(1+Assumptions!$H$145)</f>
        <v/>
      </c>
      <c r="N157" s="85">
        <f>M157*(1+Assumptions!$H$145)</f>
        <v/>
      </c>
      <c r="O157" s="85">
        <f>N157*(1+Assumptions!$H$145)</f>
        <v/>
      </c>
      <c r="P157" s="16" t="n"/>
    </row>
    <row r="158">
      <c r="A158" s="1" t="n"/>
      <c r="B158" s="1" t="n"/>
      <c r="C158" s="5" t="inlineStr">
        <is>
          <t>Other Assets (residual)</t>
        </is>
      </c>
      <c r="D158" s="1" t="n"/>
      <c r="E158" s="1" t="n"/>
      <c r="F158" s="20" t="inlineStr">
        <is>
          <t>(KES MM)</t>
        </is>
      </c>
      <c r="G158" s="1" t="n"/>
      <c r="H158" s="86" t="n">
        <v>2429.729</v>
      </c>
      <c r="I158" s="86" t="n">
        <v>2650.635</v>
      </c>
      <c r="J158" s="86" t="n">
        <v>3315.691</v>
      </c>
      <c r="K158" s="87">
        <f>J158*(1+Assumptions!$H$145)</f>
        <v/>
      </c>
      <c r="L158" s="87">
        <f>K158*(1+Assumptions!$H$145)</f>
        <v/>
      </c>
      <c r="M158" s="87">
        <f>L158*(1+Assumptions!$H$145)</f>
        <v/>
      </c>
      <c r="N158" s="87">
        <f>M158*(1+Assumptions!$H$145)</f>
        <v/>
      </c>
      <c r="O158" s="87">
        <f>N158*(1+Assumptions!$H$145)</f>
        <v/>
      </c>
      <c r="P158" s="1" t="n"/>
    </row>
    <row r="159" ht="15" customHeight="1">
      <c r="A159" s="88" t="n"/>
      <c r="B159" s="88" t="n"/>
      <c r="C159" s="89" t="inlineStr">
        <is>
          <t>Total Other Assets</t>
        </is>
      </c>
      <c r="D159" s="88" t="n"/>
      <c r="E159" s="88" t="n"/>
      <c r="F159" s="88" t="n"/>
      <c r="G159" s="88" t="n"/>
      <c r="H159" s="90">
        <f>H151+H152+H153+H154+H155+H156+H157+H158</f>
        <v/>
      </c>
      <c r="I159" s="90">
        <f>I151+I152+I153+I154+I155+I156+I157+I158</f>
        <v/>
      </c>
      <c r="J159" s="90">
        <f>J151+J152+J153+J154+J155+J156+J157+J158</f>
        <v/>
      </c>
      <c r="K159" s="90">
        <f>K151+K152+K153+K154+K155+K156+K157+K158</f>
        <v/>
      </c>
      <c r="L159" s="90">
        <f>L151+L152+L153+L154+L155+L156+L157+L158</f>
        <v/>
      </c>
      <c r="M159" s="90">
        <f>M151+M152+M153+M154+M155+M156+M157+M158</f>
        <v/>
      </c>
      <c r="N159" s="90">
        <f>N151+N152+N153+N154+N155+N156+N157+N158</f>
        <v/>
      </c>
      <c r="O159" s="90">
        <f>O151+O152+O153+O154+O155+O156+O157+O158</f>
        <v/>
      </c>
      <c r="P159" s="88" t="n"/>
    </row>
    <row r="160" ht="5" customHeight="1"/>
    <row r="161">
      <c r="A161" s="16" t="n"/>
      <c r="B161" s="16" t="n"/>
      <c r="C161" s="23" t="inlineStr">
        <is>
          <t>Balances Due to Banking Institutions</t>
        </is>
      </c>
      <c r="D161" s="16" t="n"/>
      <c r="E161" s="16" t="n"/>
      <c r="F161" s="18" t="inlineStr">
        <is>
          <t>(KES MM)</t>
        </is>
      </c>
      <c r="G161" s="16" t="n"/>
      <c r="H161" s="84" t="n">
        <v>4384.574</v>
      </c>
      <c r="I161" s="84" t="n">
        <v>7125.532</v>
      </c>
      <c r="J161" s="84" t="n">
        <v>561.679</v>
      </c>
      <c r="K161" s="85">
        <f>J161*(1+Assumptions!$H$145)</f>
        <v/>
      </c>
      <c r="L161" s="85">
        <f>K161*(1+Assumptions!$H$145)</f>
        <v/>
      </c>
      <c r="M161" s="85">
        <f>L161*(1+Assumptions!$H$145)</f>
        <v/>
      </c>
      <c r="N161" s="85">
        <f>M161*(1+Assumptions!$H$145)</f>
        <v/>
      </c>
      <c r="O161" s="85">
        <f>N161*(1+Assumptions!$H$145)</f>
        <v/>
      </c>
      <c r="P161" s="16" t="n"/>
    </row>
    <row r="162">
      <c r="A162" s="1" t="n"/>
      <c r="B162" s="1" t="n"/>
      <c r="C162" s="5" t="inlineStr">
        <is>
          <t>Short-Term CBK Borrowings</t>
        </is>
      </c>
      <c r="D162" s="1" t="n"/>
      <c r="E162" s="1" t="n"/>
      <c r="F162" s="20" t="inlineStr">
        <is>
          <t>(KES MM)</t>
        </is>
      </c>
      <c r="G162" s="1" t="n"/>
      <c r="H162" s="86" t="n">
        <v>3000</v>
      </c>
      <c r="I162" s="86" t="n">
        <v>0</v>
      </c>
      <c r="J162" s="86" t="n">
        <v>0</v>
      </c>
      <c r="K162" s="86" t="n">
        <v>0</v>
      </c>
      <c r="L162" s="86" t="n">
        <v>0</v>
      </c>
      <c r="M162" s="86" t="n">
        <v>0</v>
      </c>
      <c r="N162" s="86" t="n">
        <v>0</v>
      </c>
      <c r="O162" s="86" t="n">
        <v>0</v>
      </c>
      <c r="P162" s="1" t="n"/>
    </row>
    <row r="163">
      <c r="A163" s="16" t="n"/>
      <c r="B163" s="16" t="n"/>
      <c r="C163" s="23" t="inlineStr">
        <is>
          <t>Accruals &amp; Other Provisions</t>
        </is>
      </c>
      <c r="D163" s="16" t="n"/>
      <c r="E163" s="16" t="n"/>
      <c r="F163" s="18" t="inlineStr">
        <is>
          <t>(KES MM)</t>
        </is>
      </c>
      <c r="G163" s="16" t="n"/>
      <c r="H163" s="84" t="n">
        <v>41.702</v>
      </c>
      <c r="I163" s="84" t="n">
        <v>2101.088</v>
      </c>
      <c r="J163" s="84" t="n">
        <v>2015.038</v>
      </c>
      <c r="K163" s="85">
        <f>J163*(1+Assumptions!$H$145)</f>
        <v/>
      </c>
      <c r="L163" s="85">
        <f>K163*(1+Assumptions!$H$145)</f>
        <v/>
      </c>
      <c r="M163" s="85">
        <f>L163*(1+Assumptions!$H$145)</f>
        <v/>
      </c>
      <c r="N163" s="85">
        <f>M163*(1+Assumptions!$H$145)</f>
        <v/>
      </c>
      <c r="O163" s="85">
        <f>N163*(1+Assumptions!$H$145)</f>
        <v/>
      </c>
      <c r="P163" s="16" t="n"/>
    </row>
    <row r="164">
      <c r="A164" s="1" t="n"/>
      <c r="B164" s="1" t="n"/>
      <c r="C164" s="5" t="inlineStr">
        <is>
          <t>Other Liabilities (residual)</t>
        </is>
      </c>
      <c r="D164" s="1" t="n"/>
      <c r="E164" s="1" t="n"/>
      <c r="F164" s="20" t="inlineStr">
        <is>
          <t>(KES MM)</t>
        </is>
      </c>
      <c r="G164" s="1" t="n"/>
      <c r="H164" s="86" t="n">
        <v>3118.856</v>
      </c>
      <c r="I164" s="86" t="n">
        <v>1981.219</v>
      </c>
      <c r="J164" s="86" t="n">
        <v>5638.361</v>
      </c>
      <c r="K164" s="87">
        <f>J164*(1+Assumptions!$H$145)</f>
        <v/>
      </c>
      <c r="L164" s="87">
        <f>K164*(1+Assumptions!$H$145)</f>
        <v/>
      </c>
      <c r="M164" s="87">
        <f>L164*(1+Assumptions!$H$145)</f>
        <v/>
      </c>
      <c r="N164" s="87">
        <f>M164*(1+Assumptions!$H$145)</f>
        <v/>
      </c>
      <c r="O164" s="87">
        <f>N164*(1+Assumptions!$H$145)</f>
        <v/>
      </c>
      <c r="P164" s="1" t="n"/>
    </row>
    <row r="165">
      <c r="A165" s="16" t="n"/>
      <c r="B165" s="16" t="n"/>
      <c r="C165" s="23" t="inlineStr">
        <is>
          <t>Borrowings</t>
        </is>
      </c>
      <c r="D165" s="16" t="n"/>
      <c r="E165" s="16" t="n"/>
      <c r="F165" s="18" t="inlineStr">
        <is>
          <t>(KES MM)</t>
        </is>
      </c>
      <c r="G165" s="16" t="n"/>
      <c r="H165" s="84" t="n">
        <v>11274.119</v>
      </c>
      <c r="I165" s="84" t="n">
        <v>7491.175</v>
      </c>
      <c r="J165" s="84" t="n">
        <v>13911.503</v>
      </c>
      <c r="K165" s="85">
        <f>J165*(1+Assumptions!$H$145)</f>
        <v/>
      </c>
      <c r="L165" s="85">
        <f>K165*(1+Assumptions!$H$145)</f>
        <v/>
      </c>
      <c r="M165" s="85">
        <f>L165*(1+Assumptions!$H$145)</f>
        <v/>
      </c>
      <c r="N165" s="85">
        <f>M165*(1+Assumptions!$H$145)</f>
        <v/>
      </c>
      <c r="O165" s="85">
        <f>N165*(1+Assumptions!$H$145)</f>
        <v/>
      </c>
      <c r="P165" s="16" t="n"/>
    </row>
    <row r="166">
      <c r="A166" s="1" t="n"/>
      <c r="B166" s="1" t="n"/>
      <c r="C166" s="5" t="inlineStr">
        <is>
          <t>Lease Liabilities</t>
        </is>
      </c>
      <c r="D166" s="1" t="n"/>
      <c r="E166" s="1" t="n"/>
      <c r="F166" s="20" t="inlineStr">
        <is>
          <t>(KES MM)</t>
        </is>
      </c>
      <c r="G166" s="1" t="n"/>
      <c r="H166" s="86" t="n">
        <v>956.5700000000001</v>
      </c>
      <c r="I166" s="86" t="n">
        <v>850.764</v>
      </c>
      <c r="J166" s="86" t="n">
        <v>1182.939</v>
      </c>
      <c r="K166" s="87">
        <f>J166*(1+Assumptions!$H$145)</f>
        <v/>
      </c>
      <c r="L166" s="87">
        <f>K166*(1+Assumptions!$H$145)</f>
        <v/>
      </c>
      <c r="M166" s="87">
        <f>L166*(1+Assumptions!$H$145)</f>
        <v/>
      </c>
      <c r="N166" s="87">
        <f>M166*(1+Assumptions!$H$145)</f>
        <v/>
      </c>
      <c r="O166" s="87">
        <f>N166*(1+Assumptions!$H$145)</f>
        <v/>
      </c>
      <c r="P166" s="1" t="n"/>
    </row>
    <row r="167">
      <c r="A167" s="16" t="n"/>
      <c r="B167" s="16" t="n"/>
      <c r="C167" s="23" t="inlineStr">
        <is>
          <t>Current Income Tax Liability</t>
        </is>
      </c>
      <c r="D167" s="16" t="n"/>
      <c r="E167" s="16" t="n"/>
      <c r="F167" s="18" t="inlineStr">
        <is>
          <t>(KES MM)</t>
        </is>
      </c>
      <c r="G167" s="16" t="n"/>
      <c r="H167" s="84" t="n">
        <v>0</v>
      </c>
      <c r="I167" s="84" t="n">
        <v>0</v>
      </c>
      <c r="J167" s="84" t="n">
        <v>772.426</v>
      </c>
      <c r="K167" s="85">
        <f>J167*(1+Assumptions!$H$145)</f>
        <v/>
      </c>
      <c r="L167" s="85">
        <f>K167*(1+Assumptions!$H$145)</f>
        <v/>
      </c>
      <c r="M167" s="85">
        <f>L167*(1+Assumptions!$H$145)</f>
        <v/>
      </c>
      <c r="N167" s="85">
        <f>M167*(1+Assumptions!$H$145)</f>
        <v/>
      </c>
      <c r="O167" s="85">
        <f>N167*(1+Assumptions!$H$145)</f>
        <v/>
      </c>
      <c r="P167" s="16" t="n"/>
    </row>
    <row r="168" ht="15" customHeight="1">
      <c r="A168" s="88" t="n"/>
      <c r="B168" s="88" t="n"/>
      <c r="C168" s="89" t="inlineStr">
        <is>
          <t>Total Other Liabilities</t>
        </is>
      </c>
      <c r="D168" s="88" t="n"/>
      <c r="E168" s="88" t="n"/>
      <c r="F168" s="88" t="n"/>
      <c r="G168" s="88" t="n"/>
      <c r="H168" s="90">
        <f>H161+H162+H163+H164+H165+H166+H167</f>
        <v/>
      </c>
      <c r="I168" s="90">
        <f>I161+I162+I163+I164+I165+I166+I167</f>
        <v/>
      </c>
      <c r="J168" s="90">
        <f>J161+J162+J163+J164+J165+J166+J167</f>
        <v/>
      </c>
      <c r="K168" s="90">
        <f>K161+K162+K163+K164+K165+K166+K167</f>
        <v/>
      </c>
      <c r="L168" s="90">
        <f>L161+L162+L163+L164+L165+L166+L167</f>
        <v/>
      </c>
      <c r="M168" s="90">
        <f>M161+M162+M163+M164+M165+M166+M167</f>
        <v/>
      </c>
      <c r="N168" s="90">
        <f>N161+N162+N163+N164+N165+N166+N167</f>
        <v/>
      </c>
      <c r="O168" s="90">
        <f>O161+O162+O163+O164+O165+O166+O167</f>
        <v/>
      </c>
      <c r="P168" s="88" t="n"/>
    </row>
    <row r="169" ht="5" customHeight="1"/>
    <row r="170">
      <c r="C170" s="32" t="inlineStr">
        <is>
          <t>Operating / Investing / Financing Activities</t>
        </is>
      </c>
    </row>
    <row r="171">
      <c r="A171" s="1" t="n"/>
      <c r="B171" s="1" t="n"/>
      <c r="C171" s="80" t="inlineStr">
        <is>
          <t>Operating Cash Flow</t>
        </is>
      </c>
      <c r="D171" s="1" t="n"/>
      <c r="E171" s="1" t="n"/>
      <c r="F171" s="20" t="inlineStr">
        <is>
          <t>(KES MM)</t>
        </is>
      </c>
      <c r="G171" s="1" t="n"/>
      <c r="H171" s="92" t="n">
        <v>-2588.532</v>
      </c>
      <c r="I171" s="92" t="n">
        <v>8344.462</v>
      </c>
      <c r="J171" s="92" t="n">
        <v>778.409</v>
      </c>
      <c r="K171" s="81">
        <f>K140+K147+K62-(K57-J57)-(K106-J106)-(K159-J159)+(K118-J118)+(K168-J168)</f>
        <v/>
      </c>
      <c r="L171" s="81">
        <f>L140+L147+L62-(L57-K57)-(L106-K106)-(L159-K159)+(L118-K118)+(L168-K168)</f>
        <v/>
      </c>
      <c r="M171" s="81">
        <f>M140+M147+M62-(M57-L57)-(M106-L106)-(M159-L159)+(M118-L118)+(M168-L168)</f>
        <v/>
      </c>
      <c r="N171" s="81">
        <f>N140+N147+N62-(N57-M57)-(N106-M106)-(N159-M159)+(N118-M118)+(N168-M168)</f>
        <v/>
      </c>
      <c r="O171" s="81">
        <f>O140+O147+O62-(O57-N57)-(O106-N106)-(O159-N159)+(O118-N118)+(O168-N168)</f>
        <v/>
      </c>
      <c r="P171" s="1" t="n"/>
    </row>
    <row r="172">
      <c r="A172" s="1" t="n"/>
      <c r="B172" s="1" t="n"/>
      <c r="C172" s="5" t="inlineStr">
        <is>
          <t>Investing Cash Flow (Capex)</t>
        </is>
      </c>
      <c r="D172" s="1" t="n"/>
      <c r="E172" s="1" t="n"/>
      <c r="F172" s="20" t="inlineStr">
        <is>
          <t>(KES MM)</t>
        </is>
      </c>
      <c r="G172" s="1" t="n"/>
      <c r="H172" s="86" t="n">
        <v>-1124.298</v>
      </c>
      <c r="I172" s="86" t="n">
        <v>-476.386</v>
      </c>
      <c r="J172" s="86" t="n">
        <v>-803.2569999999999</v>
      </c>
      <c r="K172" s="21">
        <f>-K148</f>
        <v/>
      </c>
      <c r="L172" s="21">
        <f>-L148</f>
        <v/>
      </c>
      <c r="M172" s="21">
        <f>-M148</f>
        <v/>
      </c>
      <c r="N172" s="21">
        <f>-N148</f>
        <v/>
      </c>
      <c r="O172" s="21">
        <f>-O148</f>
        <v/>
      </c>
      <c r="P172" s="1" t="n"/>
    </row>
    <row r="173">
      <c r="A173" s="1" t="n"/>
      <c r="B173" s="1" t="n"/>
      <c r="C173" s="5" t="inlineStr">
        <is>
          <t>Financing Cash Flow (Dividends)</t>
        </is>
      </c>
      <c r="D173" s="1" t="n"/>
      <c r="E173" s="1" t="n"/>
      <c r="F173" s="20" t="inlineStr">
        <is>
          <t>(KES MM)</t>
        </is>
      </c>
      <c r="G173" s="1" t="n"/>
      <c r="H173" s="86" t="n">
        <v>2485.81</v>
      </c>
      <c r="I173" s="86" t="n">
        <v>-7495.162</v>
      </c>
      <c r="J173" s="86" t="n">
        <v>9253.201999999999</v>
      </c>
      <c r="K173" s="21">
        <f>-K141</f>
        <v/>
      </c>
      <c r="L173" s="21">
        <f>-L141</f>
        <v/>
      </c>
      <c r="M173" s="21">
        <f>-M141</f>
        <v/>
      </c>
      <c r="N173" s="21">
        <f>-N141</f>
        <v/>
      </c>
      <c r="O173" s="21">
        <f>-O141</f>
        <v/>
      </c>
      <c r="P173" s="1" t="n"/>
    </row>
    <row r="174" ht="15" customHeight="1">
      <c r="A174" s="88" t="n"/>
      <c r="B174" s="88" t="n"/>
      <c r="C174" s="89" t="inlineStr">
        <is>
          <t>Net Change in Cash</t>
        </is>
      </c>
      <c r="D174" s="88" t="n"/>
      <c r="E174" s="88" t="n"/>
      <c r="F174" s="88" t="n"/>
      <c r="G174" s="88" t="n"/>
      <c r="H174" s="90">
        <f>H171+H172+H173</f>
        <v/>
      </c>
      <c r="I174" s="90">
        <f>I171+I172+I173</f>
        <v/>
      </c>
      <c r="J174" s="90">
        <f>J171+J172+J173</f>
        <v/>
      </c>
      <c r="K174" s="90">
        <f>K171+K172+K173</f>
        <v/>
      </c>
      <c r="L174" s="90">
        <f>L171+L172+L173</f>
        <v/>
      </c>
      <c r="M174" s="90">
        <f>M171+M172+M173</f>
        <v/>
      </c>
      <c r="N174" s="90">
        <f>N171+N172+N173</f>
        <v/>
      </c>
      <c r="O174" s="90">
        <f>O171+O172+O173</f>
        <v/>
      </c>
      <c r="P174" s="88" t="n"/>
    </row>
    <row r="175" ht="15" customHeight="1">
      <c r="A175" s="11" t="n"/>
      <c r="B175" s="11" t="n"/>
      <c r="C175" s="83" t="inlineStr">
        <is>
          <t>Ending Cash Balance</t>
        </is>
      </c>
      <c r="D175" s="11" t="n"/>
      <c r="E175" s="11" t="n"/>
      <c r="F175" s="11" t="n"/>
      <c r="G175" s="11" t="n"/>
      <c r="H175" s="93" t="n">
        <v>3175.178</v>
      </c>
      <c r="I175" s="93" t="n">
        <v>7885.711</v>
      </c>
      <c r="J175" s="93" t="n">
        <v>17114.065</v>
      </c>
      <c r="K175" s="93">
        <f>J175+K174</f>
        <v/>
      </c>
      <c r="L175" s="93">
        <f>K175+L174</f>
        <v/>
      </c>
      <c r="M175" s="93">
        <f>L175+M174</f>
        <v/>
      </c>
      <c r="N175" s="93">
        <f>M175+N174</f>
        <v/>
      </c>
      <c r="O175" s="93">
        <f>N175+O174</f>
        <v/>
      </c>
      <c r="P175" s="11" t="n"/>
    </row>
    <row r="176" ht="8" customHeight="1"/>
    <row r="177" ht="15" customHeight="1">
      <c r="A177" s="11" t="n"/>
      <c r="B177" s="11" t="n"/>
      <c r="C177" s="83" t="inlineStr">
        <is>
          <t>BALANCE SHEET</t>
        </is>
      </c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</row>
    <row r="178" ht="14" customHeight="1">
      <c r="A178" s="13" t="n"/>
      <c r="B178" s="13" t="n"/>
      <c r="C178" s="14" t="inlineStr"/>
      <c r="D178" s="13" t="n"/>
      <c r="E178" s="13" t="n"/>
      <c r="F178" s="13" t="n"/>
      <c r="G178" s="13" t="n"/>
      <c r="H178" s="15">
        <f>H11</f>
        <v/>
      </c>
      <c r="I178" s="15">
        <f>I11</f>
        <v/>
      </c>
      <c r="J178" s="15">
        <f>J11</f>
        <v/>
      </c>
      <c r="K178" s="15">
        <f>K11</f>
        <v/>
      </c>
      <c r="L178" s="15">
        <f>L11</f>
        <v/>
      </c>
      <c r="M178" s="15">
        <f>M11</f>
        <v/>
      </c>
      <c r="N178" s="15">
        <f>N11</f>
        <v/>
      </c>
      <c r="O178" s="15">
        <f>O11</f>
        <v/>
      </c>
      <c r="P178" s="13" t="n"/>
    </row>
    <row r="179" ht="5" customHeight="1"/>
    <row r="180" ht="15" customHeight="1">
      <c r="A180" s="94" t="n"/>
      <c r="B180" s="94" t="n"/>
      <c r="C180" s="65" t="inlineStr">
        <is>
          <t>ASSETS</t>
        </is>
      </c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94" t="n"/>
      <c r="N180" s="94" t="n"/>
      <c r="O180" s="94" t="n"/>
      <c r="P180" s="94" t="n"/>
    </row>
    <row r="181">
      <c r="A181" s="1" t="n"/>
      <c r="B181" s="1" t="n"/>
      <c r="C181" s="5" t="inlineStr">
        <is>
          <t>Cash and Balances with CBK</t>
        </is>
      </c>
      <c r="D181" s="1" t="n"/>
      <c r="E181" s="1" t="n"/>
      <c r="F181" s="20" t="inlineStr">
        <is>
          <t>(KES MM)</t>
        </is>
      </c>
      <c r="G181" s="1" t="n"/>
      <c r="H181" s="86" t="n">
        <v>9250.646000000001</v>
      </c>
      <c r="I181" s="86" t="n">
        <v>12153.067</v>
      </c>
      <c r="J181" s="86" t="n">
        <v>9801.482</v>
      </c>
      <c r="K181" s="21">
        <f>K175*0.554516</f>
        <v/>
      </c>
      <c r="L181" s="21">
        <f>L175*0.554516</f>
        <v/>
      </c>
      <c r="M181" s="21">
        <f>M175*0.554516</f>
        <v/>
      </c>
      <c r="N181" s="21">
        <f>N175*0.554516</f>
        <v/>
      </c>
      <c r="O181" s="21">
        <f>O175*0.554516</f>
        <v/>
      </c>
      <c r="P181" s="1" t="n"/>
    </row>
    <row r="182">
      <c r="A182" s="1" t="n"/>
      <c r="B182" s="1" t="n"/>
      <c r="C182" s="5" t="inlineStr">
        <is>
          <t>Balances Due from Banking Institutions</t>
        </is>
      </c>
      <c r="D182" s="1" t="n"/>
      <c r="E182" s="1" t="n"/>
      <c r="F182" s="20" t="inlineStr">
        <is>
          <t>(KES MM)</t>
        </is>
      </c>
      <c r="G182" s="1" t="n"/>
      <c r="H182" s="86" t="n">
        <v>2646.725</v>
      </c>
      <c r="I182" s="86" t="n">
        <v>2858.176</v>
      </c>
      <c r="J182" s="86" t="n">
        <v>7874.262</v>
      </c>
      <c r="K182" s="21">
        <f>K175*0.445484</f>
        <v/>
      </c>
      <c r="L182" s="21">
        <f>L175*0.445484</f>
        <v/>
      </c>
      <c r="M182" s="21">
        <f>M175*0.445484</f>
        <v/>
      </c>
      <c r="N182" s="21">
        <f>N175*0.445484</f>
        <v/>
      </c>
      <c r="O182" s="21">
        <f>O175*0.445484</f>
        <v/>
      </c>
      <c r="P182" s="1" t="n"/>
    </row>
    <row r="183">
      <c r="A183" s="1" t="n"/>
      <c r="B183" s="1" t="n"/>
      <c r="C183" s="5" t="inlineStr">
        <is>
          <t>Government Securities — Amortised Cost</t>
        </is>
      </c>
      <c r="D183" s="1" t="n"/>
      <c r="E183" s="1" t="n"/>
      <c r="F183" s="20" t="inlineStr">
        <is>
          <t>(KES MM)</t>
        </is>
      </c>
      <c r="G183" s="1" t="n"/>
      <c r="H183" s="86" t="n">
        <v>24276.235</v>
      </c>
      <c r="I183" s="86" t="n">
        <v>22182.261</v>
      </c>
      <c r="J183" s="86" t="n">
        <v>39683.603</v>
      </c>
      <c r="K183" s="21">
        <f>K106*0.53616</f>
        <v/>
      </c>
      <c r="L183" s="21">
        <f>L106*0.53616</f>
        <v/>
      </c>
      <c r="M183" s="21">
        <f>M106*0.53616</f>
        <v/>
      </c>
      <c r="N183" s="21">
        <f>N106*0.53616</f>
        <v/>
      </c>
      <c r="O183" s="21">
        <f>O106*0.53616</f>
        <v/>
      </c>
      <c r="P183" s="1" t="n"/>
    </row>
    <row r="184">
      <c r="A184" s="1" t="n"/>
      <c r="B184" s="1" t="n"/>
      <c r="C184" s="5" t="inlineStr">
        <is>
          <t>Government Securities — FVOCI</t>
        </is>
      </c>
      <c r="D184" s="1" t="n"/>
      <c r="E184" s="1" t="n"/>
      <c r="F184" s="20" t="inlineStr">
        <is>
          <t>(KES MM)</t>
        </is>
      </c>
      <c r="G184" s="1" t="n"/>
      <c r="H184" s="86" t="n">
        <v>10529.403</v>
      </c>
      <c r="I184" s="86" t="n">
        <v>28806.539</v>
      </c>
      <c r="J184" s="86" t="n">
        <v>34330.87</v>
      </c>
      <c r="K184" s="21">
        <f>K106*0.46384</f>
        <v/>
      </c>
      <c r="L184" s="21">
        <f>L106*0.46384</f>
        <v/>
      </c>
      <c r="M184" s="21">
        <f>M106*0.46384</f>
        <v/>
      </c>
      <c r="N184" s="21">
        <f>N106*0.46384</f>
        <v/>
      </c>
      <c r="O184" s="21">
        <f>O106*0.46384</f>
        <v/>
      </c>
      <c r="P184" s="1" t="n"/>
    </row>
    <row r="185">
      <c r="A185" s="1" t="n"/>
      <c r="B185" s="1" t="n"/>
      <c r="C185" s="5" t="inlineStr">
        <is>
          <t>Loans and Advances to Customers (net)</t>
        </is>
      </c>
      <c r="D185" s="1" t="n"/>
      <c r="E185" s="1" t="n"/>
      <c r="F185" s="20" t="inlineStr">
        <is>
          <t>(KES MM)</t>
        </is>
      </c>
      <c r="G185" s="1" t="n"/>
      <c r="H185" s="21">
        <f>H59</f>
        <v/>
      </c>
      <c r="I185" s="21">
        <f>I59</f>
        <v/>
      </c>
      <c r="J185" s="21">
        <f>J59</f>
        <v/>
      </c>
      <c r="K185" s="21">
        <f>K59</f>
        <v/>
      </c>
      <c r="L185" s="21">
        <f>L59</f>
        <v/>
      </c>
      <c r="M185" s="21">
        <f>M59</f>
        <v/>
      </c>
      <c r="N185" s="21">
        <f>N59</f>
        <v/>
      </c>
      <c r="O185" s="21">
        <f>O59</f>
        <v/>
      </c>
      <c r="P185" s="1" t="n"/>
    </row>
    <row r="186">
      <c r="A186" s="1" t="n"/>
      <c r="B186" s="1" t="n"/>
      <c r="C186" s="5" t="inlineStr">
        <is>
          <t>Property and Equipment</t>
        </is>
      </c>
      <c r="D186" s="1" t="n"/>
      <c r="E186" s="1" t="n"/>
      <c r="F186" s="20" t="inlineStr">
        <is>
          <t>(KES MM)</t>
        </is>
      </c>
      <c r="G186" s="1" t="n"/>
      <c r="H186" s="21">
        <f>H146</f>
        <v/>
      </c>
      <c r="I186" s="21">
        <f>I146</f>
        <v/>
      </c>
      <c r="J186" s="21">
        <f>J146</f>
        <v/>
      </c>
      <c r="K186" s="21">
        <f>K146</f>
        <v/>
      </c>
      <c r="L186" s="21">
        <f>L146</f>
        <v/>
      </c>
      <c r="M186" s="21">
        <f>M146</f>
        <v/>
      </c>
      <c r="N186" s="21">
        <f>N146</f>
        <v/>
      </c>
      <c r="O186" s="21">
        <f>O146</f>
        <v/>
      </c>
      <c r="P186" s="1" t="n"/>
    </row>
    <row r="187">
      <c r="A187" s="1" t="n"/>
      <c r="B187" s="1" t="n"/>
      <c r="C187" s="5" t="inlineStr">
        <is>
          <t>Other Assets (Investment in Subsidiaries, Investment Properties, Intangibles, ROU Assets, Prepaid Leases, Tax Assets — see detail above)</t>
        </is>
      </c>
      <c r="D187" s="1" t="n"/>
      <c r="E187" s="1" t="n"/>
      <c r="F187" s="20" t="inlineStr">
        <is>
          <t>(KES MM)</t>
        </is>
      </c>
      <c r="G187" s="1" t="n"/>
      <c r="H187" s="21">
        <f>H159</f>
        <v/>
      </c>
      <c r="I187" s="21">
        <f>I159</f>
        <v/>
      </c>
      <c r="J187" s="21">
        <f>J159</f>
        <v/>
      </c>
      <c r="K187" s="21">
        <f>K159</f>
        <v/>
      </c>
      <c r="L187" s="21">
        <f>L159</f>
        <v/>
      </c>
      <c r="M187" s="21">
        <f>M159</f>
        <v/>
      </c>
      <c r="N187" s="21">
        <f>N159</f>
        <v/>
      </c>
      <c r="O187" s="21">
        <f>O159</f>
        <v/>
      </c>
      <c r="P187" s="1" t="n"/>
    </row>
    <row r="188" ht="5" customHeight="1"/>
    <row r="189" ht="15" customHeight="1">
      <c r="A189" s="11" t="n"/>
      <c r="B189" s="11" t="n"/>
      <c r="C189" s="83" t="inlineStr">
        <is>
          <t>TOTAL ASSETS</t>
        </is>
      </c>
      <c r="D189" s="11" t="n"/>
      <c r="E189" s="11" t="n"/>
      <c r="F189" s="11" t="n"/>
      <c r="G189" s="11" t="n"/>
      <c r="H189" s="93">
        <f>H181+H182+H183+H184+H185+H186+H187</f>
        <v/>
      </c>
      <c r="I189" s="93">
        <f>I181+I182+I183+I184+I185+I186+I187</f>
        <v/>
      </c>
      <c r="J189" s="93">
        <f>J181+J182+J183+J184+J185+J186+J187</f>
        <v/>
      </c>
      <c r="K189" s="93">
        <f>K181+K182+K183+K184+K185+K186+K187</f>
        <v/>
      </c>
      <c r="L189" s="93">
        <f>L181+L182+L183+L184+L185+L186+L187</f>
        <v/>
      </c>
      <c r="M189" s="93">
        <f>M181+M182+M183+M184+M185+M186+M187</f>
        <v/>
      </c>
      <c r="N189" s="93">
        <f>N181+N182+N183+N184+N185+N186+N187</f>
        <v/>
      </c>
      <c r="O189" s="93">
        <f>O181+O182+O183+O184+O185+O186+O187</f>
        <v/>
      </c>
      <c r="P189" s="11" t="n"/>
    </row>
    <row r="190" ht="5" customHeight="1"/>
    <row r="191" ht="15" customHeight="1">
      <c r="A191" s="94" t="n"/>
      <c r="B191" s="94" t="n"/>
      <c r="C191" s="65" t="inlineStr">
        <is>
          <t>LIABILITIES</t>
        </is>
      </c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94" t="n"/>
      <c r="N191" s="94" t="n"/>
      <c r="O191" s="94" t="n"/>
      <c r="P191" s="94" t="n"/>
    </row>
    <row r="192">
      <c r="A192" s="1" t="n"/>
      <c r="B192" s="1" t="n"/>
      <c r="C192" s="5" t="inlineStr">
        <is>
          <t>Customer Deposits</t>
        </is>
      </c>
      <c r="D192" s="1" t="n"/>
      <c r="E192" s="1" t="n"/>
      <c r="F192" s="20" t="inlineStr">
        <is>
          <t>(KES MM)</t>
        </is>
      </c>
      <c r="G192" s="1" t="n"/>
      <c r="H192" s="21">
        <f>H118</f>
        <v/>
      </c>
      <c r="I192" s="21">
        <f>I118</f>
        <v/>
      </c>
      <c r="J192" s="21">
        <f>J118</f>
        <v/>
      </c>
      <c r="K192" s="21">
        <f>K118</f>
        <v/>
      </c>
      <c r="L192" s="21">
        <f>L118</f>
        <v/>
      </c>
      <c r="M192" s="21">
        <f>M118</f>
        <v/>
      </c>
      <c r="N192" s="21">
        <f>N118</f>
        <v/>
      </c>
      <c r="O192" s="21">
        <f>O118</f>
        <v/>
      </c>
      <c r="P192" s="1" t="n"/>
    </row>
    <row r="193">
      <c r="A193" s="1" t="n"/>
      <c r="B193" s="1" t="n"/>
      <c r="C193" s="5" t="inlineStr">
        <is>
          <t>Other Liabilities (Due to Banks, Borrowings, Lease Liabilities, Accruals &amp; Provisions, Tax Liability — see detail above)</t>
        </is>
      </c>
      <c r="D193" s="1" t="n"/>
      <c r="E193" s="1" t="n"/>
      <c r="F193" s="20" t="inlineStr">
        <is>
          <t>(KES MM)</t>
        </is>
      </c>
      <c r="G193" s="1" t="n"/>
      <c r="H193" s="21">
        <f>H168</f>
        <v/>
      </c>
      <c r="I193" s="21">
        <f>I168</f>
        <v/>
      </c>
      <c r="J193" s="21">
        <f>J168</f>
        <v/>
      </c>
      <c r="K193" s="21">
        <f>K168</f>
        <v/>
      </c>
      <c r="L193" s="21">
        <f>L168</f>
        <v/>
      </c>
      <c r="M193" s="21">
        <f>M168</f>
        <v/>
      </c>
      <c r="N193" s="21">
        <f>N168</f>
        <v/>
      </c>
      <c r="O193" s="21">
        <f>O168</f>
        <v/>
      </c>
      <c r="P193" s="1" t="n"/>
    </row>
    <row r="194" ht="5" customHeight="1"/>
    <row r="195" ht="15" customHeight="1">
      <c r="A195" s="88" t="n"/>
      <c r="B195" s="88" t="n"/>
      <c r="C195" s="89" t="inlineStr">
        <is>
          <t>TOTAL LIABILITIES</t>
        </is>
      </c>
      <c r="D195" s="88" t="n"/>
      <c r="E195" s="88" t="n"/>
      <c r="F195" s="88" t="n"/>
      <c r="G195" s="88" t="n"/>
      <c r="H195" s="90">
        <f>H192+H193</f>
        <v/>
      </c>
      <c r="I195" s="90">
        <f>I192+I193</f>
        <v/>
      </c>
      <c r="J195" s="90">
        <f>J192+J193</f>
        <v/>
      </c>
      <c r="K195" s="90">
        <f>K192+K193</f>
        <v/>
      </c>
      <c r="L195" s="90">
        <f>L192+L193</f>
        <v/>
      </c>
      <c r="M195" s="90">
        <f>M192+M193</f>
        <v/>
      </c>
      <c r="N195" s="90">
        <f>N192+N193</f>
        <v/>
      </c>
      <c r="O195" s="90">
        <f>O192+O193</f>
        <v/>
      </c>
      <c r="P195" s="88" t="n"/>
    </row>
    <row r="196" ht="5" customHeight="1"/>
    <row r="197" ht="15" customHeight="1">
      <c r="A197" s="94" t="n"/>
      <c r="B197" s="94" t="n"/>
      <c r="C197" s="65" t="inlineStr">
        <is>
          <t>SHAREHOLDERS' EQUITY</t>
        </is>
      </c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94" t="n"/>
      <c r="N197" s="94" t="n"/>
      <c r="O197" s="94" t="n"/>
      <c r="P197" s="94" t="n"/>
    </row>
    <row r="198">
      <c r="A198" s="1" t="n"/>
      <c r="B198" s="1" t="n"/>
      <c r="C198" s="5" t="inlineStr">
        <is>
          <t>Share Capital</t>
        </is>
      </c>
      <c r="D198" s="1" t="n"/>
      <c r="E198" s="1" t="n"/>
      <c r="F198" s="20" t="inlineStr">
        <is>
          <t>(KES MM)</t>
        </is>
      </c>
      <c r="G198" s="1" t="n"/>
      <c r="H198" s="86" t="n">
        <v>1287.108</v>
      </c>
      <c r="I198" s="86" t="n">
        <v>1305.195</v>
      </c>
      <c r="J198" s="86" t="n">
        <v>1662.655</v>
      </c>
      <c r="K198" s="87">
        <f>Assumptions!$H$137</f>
        <v/>
      </c>
      <c r="L198" s="87">
        <f>Assumptions!$H$137</f>
        <v/>
      </c>
      <c r="M198" s="87">
        <f>Assumptions!$H$137</f>
        <v/>
      </c>
      <c r="N198" s="87">
        <f>Assumptions!$H$137</f>
        <v/>
      </c>
      <c r="O198" s="87">
        <f>Assumptions!$H$137</f>
        <v/>
      </c>
      <c r="P198" s="1" t="n"/>
    </row>
    <row r="199">
      <c r="A199" s="1" t="n"/>
      <c r="B199" s="1" t="n"/>
      <c r="C199" s="5" t="inlineStr">
        <is>
          <t>Share Premium</t>
        </is>
      </c>
      <c r="D199" s="1" t="n"/>
      <c r="E199" s="1" t="n"/>
      <c r="F199" s="20" t="inlineStr">
        <is>
          <t>(KES MM)</t>
        </is>
      </c>
      <c r="G199" s="1" t="n"/>
      <c r="H199" s="86" t="n">
        <v>5874.662</v>
      </c>
      <c r="I199" s="86" t="n">
        <v>6118.846</v>
      </c>
      <c r="J199" s="86" t="n">
        <v>10944.549</v>
      </c>
      <c r="K199" s="87">
        <f>Assumptions!$H$138</f>
        <v/>
      </c>
      <c r="L199" s="87">
        <f>Assumptions!$H$138</f>
        <v/>
      </c>
      <c r="M199" s="87">
        <f>Assumptions!$H$138</f>
        <v/>
      </c>
      <c r="N199" s="87">
        <f>Assumptions!$H$138</f>
        <v/>
      </c>
      <c r="O199" s="87">
        <f>Assumptions!$H$138</f>
        <v/>
      </c>
      <c r="P199" s="1" t="n"/>
    </row>
    <row r="200">
      <c r="A200" s="16" t="n"/>
      <c r="B200" s="16" t="n"/>
      <c r="C200" s="23" t="inlineStr">
        <is>
          <t>Revaluation Surplus</t>
        </is>
      </c>
      <c r="D200" s="16" t="n"/>
      <c r="E200" s="16" t="n"/>
      <c r="F200" s="18" t="inlineStr">
        <is>
          <t>(KES MM)</t>
        </is>
      </c>
      <c r="G200" s="16" t="n"/>
      <c r="H200" s="84" t="n">
        <v>278.424</v>
      </c>
      <c r="I200" s="84" t="n">
        <v>278.424</v>
      </c>
      <c r="J200" s="84" t="n">
        <v>506.423</v>
      </c>
      <c r="K200" s="85">
        <f>J200*(1+Assumptions!$H$145)</f>
        <v/>
      </c>
      <c r="L200" s="85">
        <f>K200*(1+Assumptions!$H$145)</f>
        <v/>
      </c>
      <c r="M200" s="85">
        <f>L200*(1+Assumptions!$H$145)</f>
        <v/>
      </c>
      <c r="N200" s="85">
        <f>M200*(1+Assumptions!$H$145)</f>
        <v/>
      </c>
      <c r="O200" s="85">
        <f>N200*(1+Assumptions!$H$145)</f>
        <v/>
      </c>
      <c r="P200" s="16" t="n"/>
    </row>
    <row r="201">
      <c r="A201" s="1" t="n"/>
      <c r="B201" s="1" t="n"/>
      <c r="C201" s="5" t="inlineStr">
        <is>
          <t>Fair Value Reserve</t>
        </is>
      </c>
      <c r="D201" s="1" t="n"/>
      <c r="E201" s="1" t="n"/>
      <c r="F201" s="20" t="inlineStr">
        <is>
          <t>(KES MM)</t>
        </is>
      </c>
      <c r="G201" s="1" t="n"/>
      <c r="H201" s="86" t="n">
        <v>-1766.32</v>
      </c>
      <c r="I201" s="86" t="n">
        <v>752.1609999999999</v>
      </c>
      <c r="J201" s="86" t="n">
        <v>1305.334</v>
      </c>
      <c r="K201" s="87">
        <f>J201*(1+Assumptions!$H$145)</f>
        <v/>
      </c>
      <c r="L201" s="87">
        <f>K201*(1+Assumptions!$H$145)</f>
        <v/>
      </c>
      <c r="M201" s="87">
        <f>L201*(1+Assumptions!$H$145)</f>
        <v/>
      </c>
      <c r="N201" s="87">
        <f>M201*(1+Assumptions!$H$145)</f>
        <v/>
      </c>
      <c r="O201" s="87">
        <f>N201*(1+Assumptions!$H$145)</f>
        <v/>
      </c>
      <c r="P201" s="1" t="n"/>
    </row>
    <row r="202">
      <c r="A202" s="16" t="n"/>
      <c r="B202" s="16" t="n"/>
      <c r="C202" s="23" t="inlineStr">
        <is>
          <t>Statutory Reserve</t>
        </is>
      </c>
      <c r="D202" s="16" t="n"/>
      <c r="E202" s="16" t="n"/>
      <c r="F202" s="18" t="inlineStr">
        <is>
          <t>(KES MM)</t>
        </is>
      </c>
      <c r="G202" s="16" t="n"/>
      <c r="H202" s="84" t="n">
        <v>2594.636</v>
      </c>
      <c r="I202" s="84" t="n">
        <v>3092.496</v>
      </c>
      <c r="J202" s="84" t="n">
        <v>2551.376</v>
      </c>
      <c r="K202" s="85">
        <f>J202*(1+Assumptions!$H$145)</f>
        <v/>
      </c>
      <c r="L202" s="85">
        <f>K202*(1+Assumptions!$H$145)</f>
        <v/>
      </c>
      <c r="M202" s="85">
        <f>L202*(1+Assumptions!$H$145)</f>
        <v/>
      </c>
      <c r="N202" s="85">
        <f>M202*(1+Assumptions!$H$145)</f>
        <v/>
      </c>
      <c r="O202" s="85">
        <f>N202*(1+Assumptions!$H$145)</f>
        <v/>
      </c>
      <c r="P202" s="16" t="n"/>
    </row>
    <row r="203">
      <c r="A203" s="1" t="n"/>
      <c r="B203" s="1" t="n"/>
      <c r="C203" s="5" t="inlineStr">
        <is>
          <t>Proposed Dividends</t>
        </is>
      </c>
      <c r="D203" s="1" t="n"/>
      <c r="E203" s="1" t="n"/>
      <c r="F203" s="20" t="inlineStr">
        <is>
          <t>(KES MM)</t>
        </is>
      </c>
      <c r="G203" s="1" t="n"/>
      <c r="H203" s="86" t="n">
        <v>722.968</v>
      </c>
      <c r="I203" s="86" t="n">
        <v>1108.5</v>
      </c>
      <c r="J203" s="86" t="n">
        <v>2228.702</v>
      </c>
      <c r="K203" s="87">
        <f>K140*Assumptions!$H$14</f>
        <v/>
      </c>
      <c r="L203" s="87">
        <f>L140*Assumptions!$H$14</f>
        <v/>
      </c>
      <c r="M203" s="87">
        <f>M140*Assumptions!$H$14</f>
        <v/>
      </c>
      <c r="N203" s="87">
        <f>N140*Assumptions!$H$14</f>
        <v/>
      </c>
      <c r="O203" s="87">
        <f>O140*Assumptions!$H$14</f>
        <v/>
      </c>
      <c r="P203" s="1" t="n"/>
    </row>
    <row r="204">
      <c r="A204" s="1" t="n"/>
      <c r="B204" s="1" t="n"/>
      <c r="C204" s="5" t="inlineStr">
        <is>
          <t>Retained Earnings</t>
        </is>
      </c>
      <c r="D204" s="1" t="n"/>
      <c r="E204" s="1" t="n"/>
      <c r="F204" s="20" t="inlineStr">
        <is>
          <t>(KES MM)</t>
        </is>
      </c>
      <c r="G204" s="1" t="n"/>
      <c r="H204" s="86" t="n">
        <v>7410.682</v>
      </c>
      <c r="I204" s="86" t="n">
        <v>9066.319</v>
      </c>
      <c r="J204" s="86" t="n">
        <v>12908.471</v>
      </c>
      <c r="K204" s="21">
        <f>(J206+K140-K141)-K198-K199-K200-K201-K202-K203</f>
        <v/>
      </c>
      <c r="L204" s="21">
        <f>(K206+L140-L141)-L198-L199-L200-L201-L202-L203</f>
        <v/>
      </c>
      <c r="M204" s="21">
        <f>(L206+M140-M141)-M198-M199-M200-M201-M202-M203</f>
        <v/>
      </c>
      <c r="N204" s="21">
        <f>(M206+N140-N141)-N198-N199-N200-N201-N202-N203</f>
        <v/>
      </c>
      <c r="O204" s="21">
        <f>(N206+O140-O141)-O198-O199-O200-O201-O202-O203</f>
        <v/>
      </c>
      <c r="P204" s="1" t="n"/>
    </row>
    <row r="205" ht="5" customHeight="1"/>
    <row r="206" ht="15" customHeight="1">
      <c r="A206" s="88" t="n"/>
      <c r="B206" s="88" t="n"/>
      <c r="C206" s="89" t="inlineStr">
        <is>
          <t>TOTAL SHAREHOLDERS' EQUITY</t>
        </is>
      </c>
      <c r="D206" s="88" t="n"/>
      <c r="E206" s="88" t="n"/>
      <c r="F206" s="88" t="n"/>
      <c r="G206" s="88" t="n"/>
      <c r="H206" s="90">
        <f>H198+H199+H200+H201+H202+H203+H204</f>
        <v/>
      </c>
      <c r="I206" s="90">
        <f>I198+I199+I200+I201+I202+I203+I204</f>
        <v/>
      </c>
      <c r="J206" s="90">
        <f>J198+J199+J200+J201+J202+J203+J204</f>
        <v/>
      </c>
      <c r="K206" s="90">
        <f>K198+K199+K200+K201+K202+K203+K204</f>
        <v/>
      </c>
      <c r="L206" s="90">
        <f>L198+L199+L200+L201+L202+L203+L204</f>
        <v/>
      </c>
      <c r="M206" s="90">
        <f>M198+M199+M200+M201+M202+M203+M204</f>
        <v/>
      </c>
      <c r="N206" s="90">
        <f>N198+N199+N200+N201+N202+N203+N204</f>
        <v/>
      </c>
      <c r="O206" s="90">
        <f>O198+O199+O200+O201+O202+O203+O204</f>
        <v/>
      </c>
      <c r="P206" s="88" t="n"/>
    </row>
    <row r="207" ht="5" customHeight="1"/>
    <row r="208">
      <c r="A208" s="1" t="n"/>
      <c r="B208" s="1" t="n"/>
      <c r="C208" s="80" t="inlineStr">
        <is>
          <t>Balance Sheet Check (Assets − Liab − Equity)</t>
        </is>
      </c>
      <c r="D208" s="1" t="n"/>
      <c r="E208" s="1" t="n"/>
      <c r="F208" s="1" t="n"/>
      <c r="G208" s="1" t="n"/>
      <c r="H208" s="95">
        <f>H189-H195-H206</f>
        <v/>
      </c>
      <c r="I208" s="95">
        <f>I189-I195-I206</f>
        <v/>
      </c>
      <c r="J208" s="95">
        <f>J189-J195-J206</f>
        <v/>
      </c>
      <c r="K208" s="95">
        <f>K189-K195-K206</f>
        <v/>
      </c>
      <c r="L208" s="95">
        <f>L189-L195-L206</f>
        <v/>
      </c>
      <c r="M208" s="95">
        <f>M189-M195-M206</f>
        <v/>
      </c>
      <c r="N208" s="95">
        <f>N189-N195-N206</f>
        <v/>
      </c>
      <c r="O208" s="95">
        <f>O189-O195-O206</f>
        <v/>
      </c>
      <c r="P208" s="1" t="n"/>
    </row>
    <row r="209" ht="8" customHeight="1"/>
    <row r="210" ht="15" customHeight="1">
      <c r="A210" s="11" t="n"/>
      <c r="B210" s="11" t="n"/>
      <c r="C210" s="83" t="inlineStr">
        <is>
          <t>CAPITAL ADEQUACY &amp; LIQUIDITY</t>
        </is>
      </c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</row>
    <row r="211" ht="14" customHeight="1">
      <c r="A211" s="13" t="n"/>
      <c r="B211" s="13" t="n"/>
      <c r="C211" s="14" t="inlineStr"/>
      <c r="D211" s="13" t="n"/>
      <c r="E211" s="13" t="n"/>
      <c r="F211" s="13" t="n"/>
      <c r="G211" s="13" t="n"/>
      <c r="H211" s="15">
        <f>H11</f>
        <v/>
      </c>
      <c r="I211" s="15">
        <f>I11</f>
        <v/>
      </c>
      <c r="J211" s="15">
        <f>J11</f>
        <v/>
      </c>
      <c r="K211" s="15">
        <f>K11</f>
        <v/>
      </c>
      <c r="L211" s="15">
        <f>L11</f>
        <v/>
      </c>
      <c r="M211" s="15">
        <f>M11</f>
        <v/>
      </c>
      <c r="N211" s="15">
        <f>N11</f>
        <v/>
      </c>
      <c r="O211" s="15">
        <f>O11</f>
        <v/>
      </c>
      <c r="P211" s="13" t="n"/>
    </row>
    <row r="212" ht="5" customHeight="1"/>
    <row r="213">
      <c r="C213" s="32" t="inlineStr">
        <is>
          <t>Risk-Weighted Assets</t>
        </is>
      </c>
    </row>
    <row r="214">
      <c r="A214" s="1" t="n"/>
      <c r="B214" s="1" t="n"/>
      <c r="C214" s="5" t="inlineStr">
        <is>
          <t>Loan Book RWA (modeled, own risk-weight assumptions)</t>
        </is>
      </c>
      <c r="D214" s="1" t="n"/>
      <c r="E214" s="1" t="n"/>
      <c r="F214" s="20" t="inlineStr">
        <is>
          <t>(KES MM)</t>
        </is>
      </c>
      <c r="G214" s="1" t="n"/>
      <c r="H214" s="87">
        <f>H20*Assumptions!$H$60+H32*Assumptions!$I$60+H44*Assumptions!$J$60</f>
        <v/>
      </c>
      <c r="I214" s="87">
        <f>I20*Assumptions!$H$60+I32*Assumptions!$I$60+I44*Assumptions!$J$60</f>
        <v/>
      </c>
      <c r="J214" s="87">
        <f>J20*Assumptions!$H$60+J32*Assumptions!$I$60+J44*Assumptions!$J$60</f>
        <v/>
      </c>
      <c r="K214" s="87">
        <f>K20*Assumptions!$H$60+K32*Assumptions!$I$60+K44*Assumptions!$J$60</f>
        <v/>
      </c>
      <c r="L214" s="87">
        <f>L20*Assumptions!$H$60+L32*Assumptions!$I$60+L44*Assumptions!$J$60</f>
        <v/>
      </c>
      <c r="M214" s="87">
        <f>M20*Assumptions!$H$60+M32*Assumptions!$I$60+M44*Assumptions!$J$60</f>
        <v/>
      </c>
      <c r="N214" s="87">
        <f>N20*Assumptions!$H$60+N32*Assumptions!$I$60+N44*Assumptions!$J$60</f>
        <v/>
      </c>
      <c r="O214" s="87">
        <f>O20*Assumptions!$H$60+O32*Assumptions!$I$60+O44*Assumptions!$J$60</f>
        <v/>
      </c>
      <c r="P214" s="1" t="n"/>
    </row>
    <row r="215">
      <c r="A215" s="1" t="n"/>
      <c r="B215" s="1" t="n"/>
      <c r="C215" s="5" t="inlineStr">
        <is>
          <t>Off-Balance-Sheet RWA (modeled)</t>
        </is>
      </c>
      <c r="D215" s="1" t="n"/>
      <c r="E215" s="1" t="n"/>
      <c r="F215" s="20" t="inlineStr">
        <is>
          <t>(KES MM)</t>
        </is>
      </c>
      <c r="G215" s="1" t="n"/>
      <c r="H215" s="21">
        <f>H54</f>
        <v/>
      </c>
      <c r="I215" s="21">
        <f>I54</f>
        <v/>
      </c>
      <c r="J215" s="21">
        <f>J54</f>
        <v/>
      </c>
      <c r="K215" s="21">
        <f>K54</f>
        <v/>
      </c>
      <c r="L215" s="21">
        <f>L54</f>
        <v/>
      </c>
      <c r="M215" s="21">
        <f>M54</f>
        <v/>
      </c>
      <c r="N215" s="21">
        <f>N54</f>
        <v/>
      </c>
      <c r="O215" s="21">
        <f>O54</f>
        <v/>
      </c>
      <c r="P215" s="1" t="n"/>
    </row>
    <row r="216">
      <c r="A216" s="1" t="n"/>
      <c r="B216" s="1" t="n"/>
      <c r="C216" s="80" t="inlineStr">
        <is>
          <t>Total RWA (disclosed for actuals; modeled for projected)</t>
        </is>
      </c>
      <c r="D216" s="1" t="n"/>
      <c r="E216" s="1" t="n"/>
      <c r="F216" s="20" t="inlineStr">
        <is>
          <t>(KES MM)</t>
        </is>
      </c>
      <c r="G216" s="1" t="n"/>
      <c r="H216" s="92" t="n">
        <v>108176.948</v>
      </c>
      <c r="I216" s="92" t="n">
        <v>112558.659</v>
      </c>
      <c r="J216" s="92" t="n">
        <v>144703.676</v>
      </c>
      <c r="K216" s="82">
        <f>K214+K54+K57*Assumptions!$H$134</f>
        <v/>
      </c>
      <c r="L216" s="82">
        <f>L214+L54+L57*Assumptions!$H$134</f>
        <v/>
      </c>
      <c r="M216" s="82">
        <f>M214+M54+M57*Assumptions!$H$134</f>
        <v/>
      </c>
      <c r="N216" s="82">
        <f>N214+N54+N57*Assumptions!$H$134</f>
        <v/>
      </c>
      <c r="O216" s="82">
        <f>O214+O54+O57*Assumptions!$H$134</f>
        <v/>
      </c>
      <c r="P216" s="1" t="n"/>
    </row>
    <row r="217" ht="5" customHeight="1"/>
    <row r="218">
      <c r="C218" s="32" t="inlineStr">
        <is>
          <t>Regulatory Capital — Tier 1 Build-up (Actuals, disclosed)</t>
        </is>
      </c>
    </row>
    <row r="219">
      <c r="A219" s="1" t="n"/>
      <c r="B219" s="1" t="n"/>
      <c r="C219" s="5" t="inlineStr">
        <is>
          <t>Share Capital (regulatory)</t>
        </is>
      </c>
      <c r="D219" s="1" t="n"/>
      <c r="E219" s="1" t="n"/>
      <c r="F219" s="20" t="inlineStr">
        <is>
          <t>(KES MM)</t>
        </is>
      </c>
      <c r="G219" s="1" t="n"/>
      <c r="H219" s="86" t="n">
        <v>1287.108</v>
      </c>
      <c r="I219" s="86" t="n">
        <v>1305.195</v>
      </c>
      <c r="J219" s="86" t="n">
        <v>1662.655</v>
      </c>
      <c r="K219" s="86" t="n"/>
      <c r="L219" s="86" t="n"/>
      <c r="M219" s="86" t="n"/>
      <c r="N219" s="86" t="n"/>
      <c r="O219" s="86" t="n"/>
      <c r="P219" s="1" t="n"/>
    </row>
    <row r="220">
      <c r="A220" s="1" t="n"/>
      <c r="B220" s="1" t="n"/>
      <c r="C220" s="5" t="inlineStr">
        <is>
          <t>Share Premium</t>
        </is>
      </c>
      <c r="D220" s="1" t="n"/>
      <c r="E220" s="1" t="n"/>
      <c r="F220" s="20" t="inlineStr">
        <is>
          <t>(KES MM)</t>
        </is>
      </c>
      <c r="G220" s="1" t="n"/>
      <c r="H220" s="86" t="n">
        <v>5874.662</v>
      </c>
      <c r="I220" s="86" t="n">
        <v>6118.846</v>
      </c>
      <c r="J220" s="86" t="n">
        <v>10944.549</v>
      </c>
      <c r="K220" s="86" t="n"/>
      <c r="L220" s="86" t="n"/>
      <c r="M220" s="86" t="n"/>
      <c r="N220" s="86" t="n"/>
      <c r="O220" s="86" t="n"/>
      <c r="P220" s="1" t="n"/>
    </row>
    <row r="221">
      <c r="A221" s="1" t="n"/>
      <c r="B221" s="1" t="n"/>
      <c r="C221" s="5" t="inlineStr">
        <is>
          <t>Retained Earnings (regulatory)</t>
        </is>
      </c>
      <c r="D221" s="1" t="n"/>
      <c r="E221" s="1" t="n"/>
      <c r="F221" s="20" t="inlineStr">
        <is>
          <t>(KES MM)</t>
        </is>
      </c>
      <c r="G221" s="1" t="n"/>
      <c r="H221" s="86" t="n">
        <v>7410.682</v>
      </c>
      <c r="I221" s="86" t="n">
        <v>9066.319</v>
      </c>
      <c r="J221" s="86" t="n">
        <v>12908.471</v>
      </c>
      <c r="K221" s="86" t="n"/>
      <c r="L221" s="86" t="n"/>
      <c r="M221" s="86" t="n"/>
      <c r="N221" s="86" t="n"/>
      <c r="O221" s="86" t="n"/>
      <c r="P221" s="1" t="n"/>
    </row>
    <row r="222">
      <c r="A222" s="1" t="n"/>
      <c r="B222" s="1" t="n"/>
      <c r="C222" s="5" t="inlineStr">
        <is>
          <t>Less: Deferred Tax</t>
        </is>
      </c>
      <c r="D222" s="1" t="n"/>
      <c r="E222" s="1" t="n"/>
      <c r="F222" s="20" t="inlineStr">
        <is>
          <t>(KES MM)</t>
        </is>
      </c>
      <c r="G222" s="1" t="n"/>
      <c r="H222" s="86" t="n">
        <v>0</v>
      </c>
      <c r="I222" s="86" t="n">
        <v>-1266.898</v>
      </c>
      <c r="J222" s="86" t="n">
        <v>-1111.321</v>
      </c>
      <c r="K222" s="86" t="n"/>
      <c r="L222" s="86" t="n"/>
      <c r="M222" s="86" t="n"/>
      <c r="N222" s="86" t="n"/>
      <c r="O222" s="86" t="n"/>
      <c r="P222" s="1" t="n"/>
    </row>
    <row r="223">
      <c r="A223" s="1" t="n"/>
      <c r="B223" s="1" t="n"/>
      <c r="C223" s="80" t="inlineStr">
        <is>
          <t>Total Tier 1 Capital (regulatory)</t>
        </is>
      </c>
      <c r="D223" s="1" t="n"/>
      <c r="E223" s="1" t="n"/>
      <c r="F223" s="20" t="inlineStr">
        <is>
          <t>(KES MM)</t>
        </is>
      </c>
      <c r="G223" s="1" t="n"/>
      <c r="H223" s="81">
        <f>H219+H220+H221+H222</f>
        <v/>
      </c>
      <c r="I223" s="81">
        <f>I219+I220+I221+I222</f>
        <v/>
      </c>
      <c r="J223" s="81">
        <f>J219+J220+J221+J222</f>
        <v/>
      </c>
      <c r="K223" s="82">
        <f>K206*Assumptions!$H$135</f>
        <v/>
      </c>
      <c r="L223" s="82">
        <f>L206*Assumptions!$H$135</f>
        <v/>
      </c>
      <c r="M223" s="82">
        <f>M206*Assumptions!$H$135</f>
        <v/>
      </c>
      <c r="N223" s="82">
        <f>N206*Assumptions!$H$135</f>
        <v/>
      </c>
      <c r="O223" s="82">
        <f>O206*Assumptions!$H$135</f>
        <v/>
      </c>
      <c r="P223" s="1" t="n"/>
    </row>
    <row r="224" ht="5" customHeight="1"/>
    <row r="225">
      <c r="C225" s="32" t="inlineStr">
        <is>
          <t>Regulatory Capital — Tier 2 Build-up (Actuals, disclosed)</t>
        </is>
      </c>
    </row>
    <row r="226">
      <c r="A226" s="1" t="n"/>
      <c r="B226" s="1" t="n"/>
      <c r="C226" s="5" t="inlineStr">
        <is>
          <t>Revaluation Reserve (25% eligible)</t>
        </is>
      </c>
      <c r="D226" s="1" t="n"/>
      <c r="E226" s="1" t="n"/>
      <c r="F226" s="20" t="inlineStr">
        <is>
          <t>(KES MM)</t>
        </is>
      </c>
      <c r="G226" s="1" t="n"/>
      <c r="H226" s="86" t="n">
        <v>69.60599999999999</v>
      </c>
      <c r="I226" s="86" t="n">
        <v>69.60599999999999</v>
      </c>
      <c r="J226" s="86" t="n">
        <v>0</v>
      </c>
      <c r="K226" s="86" t="n"/>
      <c r="L226" s="86" t="n"/>
      <c r="M226" s="86" t="n"/>
      <c r="N226" s="86" t="n"/>
      <c r="O226" s="86" t="n"/>
      <c r="P226" s="1" t="n"/>
    </row>
    <row r="227">
      <c r="A227" s="1" t="n"/>
      <c r="B227" s="1" t="n"/>
      <c r="C227" s="5" t="inlineStr">
        <is>
          <t>Subordinated Term Debt</t>
        </is>
      </c>
      <c r="D227" s="1" t="n"/>
      <c r="E227" s="1" t="n"/>
      <c r="F227" s="20" t="inlineStr">
        <is>
          <t>(KES MM)</t>
        </is>
      </c>
      <c r="G227" s="1" t="n"/>
      <c r="H227" s="86" t="n">
        <v>3200</v>
      </c>
      <c r="I227" s="86" t="n">
        <v>1600</v>
      </c>
      <c r="J227" s="86" t="n">
        <v>2090.5</v>
      </c>
      <c r="K227" s="86" t="n"/>
      <c r="L227" s="86" t="n"/>
      <c r="M227" s="86" t="n"/>
      <c r="N227" s="86" t="n"/>
      <c r="O227" s="86" t="n"/>
      <c r="P227" s="1" t="n"/>
    </row>
    <row r="228">
      <c r="A228" s="1" t="n"/>
      <c r="B228" s="1" t="n"/>
      <c r="C228" s="5" t="inlineStr">
        <is>
          <t>Statutory Reserve</t>
        </is>
      </c>
      <c r="D228" s="1" t="n"/>
      <c r="E228" s="1" t="n"/>
      <c r="F228" s="20" t="inlineStr">
        <is>
          <t>(KES MM)</t>
        </is>
      </c>
      <c r="G228" s="1" t="n"/>
      <c r="H228" s="86" t="n">
        <v>2594.636</v>
      </c>
      <c r="I228" s="86" t="n">
        <v>3092.496</v>
      </c>
      <c r="J228" s="86" t="n">
        <v>1808.796</v>
      </c>
      <c r="K228" s="86" t="n"/>
      <c r="L228" s="86" t="n"/>
      <c r="M228" s="86" t="n"/>
      <c r="N228" s="86" t="n"/>
      <c r="O228" s="86" t="n"/>
      <c r="P228" s="1" t="n"/>
    </row>
    <row r="229">
      <c r="A229" s="1" t="n"/>
      <c r="B229" s="1" t="n"/>
      <c r="C229" s="80" t="inlineStr">
        <is>
          <t>Total Tier 2 Capital (regulatory)</t>
        </is>
      </c>
      <c r="D229" s="1" t="n"/>
      <c r="E229" s="1" t="n"/>
      <c r="F229" s="20" t="inlineStr">
        <is>
          <t>(KES MM)</t>
        </is>
      </c>
      <c r="G229" s="1" t="n"/>
      <c r="H229" s="81">
        <f>H226+H227+H228</f>
        <v/>
      </c>
      <c r="I229" s="81">
        <f>I226+I227+I228</f>
        <v/>
      </c>
      <c r="J229" s="81">
        <f>J226+J227+J228</f>
        <v/>
      </c>
      <c r="K229" s="82">
        <f>Assumptions!$H$136</f>
        <v/>
      </c>
      <c r="L229" s="82">
        <f>Assumptions!$H$136</f>
        <v/>
      </c>
      <c r="M229" s="82">
        <f>Assumptions!$H$136</f>
        <v/>
      </c>
      <c r="N229" s="82">
        <f>Assumptions!$H$136</f>
        <v/>
      </c>
      <c r="O229" s="82">
        <f>Assumptions!$H$136</f>
        <v/>
      </c>
      <c r="P229" s="1" t="n"/>
    </row>
    <row r="230" ht="15" customHeight="1">
      <c r="A230" s="88" t="n"/>
      <c r="B230" s="88" t="n"/>
      <c r="C230" s="89" t="inlineStr">
        <is>
          <t>Total Regulatory Capital</t>
        </is>
      </c>
      <c r="D230" s="88" t="n"/>
      <c r="E230" s="88" t="n"/>
      <c r="F230" s="88" t="n"/>
      <c r="G230" s="88" t="n"/>
      <c r="H230" s="90">
        <f>H223+H229</f>
        <v/>
      </c>
      <c r="I230" s="90">
        <f>I223+I229</f>
        <v/>
      </c>
      <c r="J230" s="90">
        <f>J223+J229</f>
        <v/>
      </c>
      <c r="K230" s="90">
        <f>K223+K229</f>
        <v/>
      </c>
      <c r="L230" s="90">
        <f>L223+L229</f>
        <v/>
      </c>
      <c r="M230" s="90">
        <f>M223+M229</f>
        <v/>
      </c>
      <c r="N230" s="90">
        <f>N223+N229</f>
        <v/>
      </c>
      <c r="O230" s="90">
        <f>O223+O229</f>
        <v/>
      </c>
      <c r="P230" s="88" t="n"/>
    </row>
    <row r="231" ht="5" customHeight="1"/>
    <row r="232">
      <c r="C232" s="32" t="inlineStr">
        <is>
          <t>Capital Ratios</t>
        </is>
      </c>
    </row>
    <row r="233">
      <c r="A233" s="1" t="n"/>
      <c r="B233" s="1" t="n"/>
      <c r="C233" s="5" t="inlineStr">
        <is>
          <t>Core Capital / RWA</t>
        </is>
      </c>
      <c r="D233" s="1" t="n"/>
      <c r="E233" s="1" t="n"/>
      <c r="F233" s="1" t="n"/>
      <c r="G233" s="1" t="n"/>
      <c r="H233" s="22">
        <f>IF(H216&lt;&gt;0,H223/H216,0)</f>
        <v/>
      </c>
      <c r="I233" s="22">
        <f>IF(I216&lt;&gt;0,I223/I216,0)</f>
        <v/>
      </c>
      <c r="J233" s="22">
        <f>IF(J216&lt;&gt;0,J223/J216,0)</f>
        <v/>
      </c>
      <c r="K233" s="22">
        <f>IF(K216&lt;&gt;0,K223/K216,0)</f>
        <v/>
      </c>
      <c r="L233" s="22">
        <f>IF(L216&lt;&gt;0,L223/L216,0)</f>
        <v/>
      </c>
      <c r="M233" s="22">
        <f>IF(M216&lt;&gt;0,M223/M216,0)</f>
        <v/>
      </c>
      <c r="N233" s="22">
        <f>IF(N216&lt;&gt;0,N223/N216,0)</f>
        <v/>
      </c>
      <c r="O233" s="22">
        <f>IF(O216&lt;&gt;0,O223/O216,0)</f>
        <v/>
      </c>
      <c r="P233" s="1" t="n"/>
    </row>
    <row r="234">
      <c r="A234" s="1" t="n"/>
      <c r="B234" s="1" t="n"/>
      <c r="C234" s="5" t="inlineStr">
        <is>
          <t>Total Capital / RWA</t>
        </is>
      </c>
      <c r="D234" s="1" t="n"/>
      <c r="E234" s="1" t="n"/>
      <c r="F234" s="1" t="n"/>
      <c r="G234" s="1" t="n"/>
      <c r="H234" s="22">
        <f>IF(H216&lt;&gt;0,H230/H216,0)</f>
        <v/>
      </c>
      <c r="I234" s="22">
        <f>IF(I216&lt;&gt;0,I230/I216,0)</f>
        <v/>
      </c>
      <c r="J234" s="22">
        <f>IF(J216&lt;&gt;0,J230/J216,0)</f>
        <v/>
      </c>
      <c r="K234" s="22">
        <f>IF(K216&lt;&gt;0,K230/K216,0)</f>
        <v/>
      </c>
      <c r="L234" s="22">
        <f>IF(L216&lt;&gt;0,L230/L216,0)</f>
        <v/>
      </c>
      <c r="M234" s="22">
        <f>IF(M216&lt;&gt;0,M230/M216,0)</f>
        <v/>
      </c>
      <c r="N234" s="22">
        <f>IF(N216&lt;&gt;0,N230/N216,0)</f>
        <v/>
      </c>
      <c r="O234" s="22">
        <f>IF(O216&lt;&gt;0,O230/O216,0)</f>
        <v/>
      </c>
      <c r="P234" s="1" t="n"/>
    </row>
    <row r="235">
      <c r="A235" s="1" t="n"/>
      <c r="B235" s="1" t="n"/>
      <c r="C235" s="5" t="inlineStr">
        <is>
          <t>Core Capital / Deposits</t>
        </is>
      </c>
      <c r="D235" s="1" t="n"/>
      <c r="E235" s="1" t="n"/>
      <c r="F235" s="1" t="n"/>
      <c r="G235" s="1" t="n"/>
      <c r="H235" s="22">
        <f>IF(H118&lt;&gt;0,H223/H118,0)</f>
        <v/>
      </c>
      <c r="I235" s="22">
        <f>IF(I118&lt;&gt;0,I223/I118,0)</f>
        <v/>
      </c>
      <c r="J235" s="22">
        <f>IF(J118&lt;&gt;0,J223/J118,0)</f>
        <v/>
      </c>
      <c r="K235" s="22">
        <f>IF(K118&lt;&gt;0,K223/K118,0)</f>
        <v/>
      </c>
      <c r="L235" s="22">
        <f>IF(L118&lt;&gt;0,L223/L118,0)</f>
        <v/>
      </c>
      <c r="M235" s="22">
        <f>IF(M118&lt;&gt;0,M223/M118,0)</f>
        <v/>
      </c>
      <c r="N235" s="22">
        <f>IF(N118&lt;&gt;0,N223/N118,0)</f>
        <v/>
      </c>
      <c r="O235" s="22">
        <f>IF(O118&lt;&gt;0,O223/O118,0)</f>
        <v/>
      </c>
      <c r="P235" s="1" t="n"/>
    </row>
    <row r="236" ht="5" customHeight="1"/>
    <row r="237">
      <c r="C237" s="32" t="inlineStr">
        <is>
          <t>Liquidity</t>
        </is>
      </c>
    </row>
    <row r="238">
      <c r="A238" s="1" t="n"/>
      <c r="B238" s="1" t="n"/>
      <c r="C238" s="5" t="inlineStr">
        <is>
          <t>Liquid Assets (Cash + Securities)</t>
        </is>
      </c>
      <c r="D238" s="1" t="n"/>
      <c r="E238" s="1" t="n"/>
      <c r="F238" s="20" t="inlineStr">
        <is>
          <t>(KES MM)</t>
        </is>
      </c>
      <c r="G238" s="1" t="n"/>
      <c r="H238" s="21">
        <f>H175+H106</f>
        <v/>
      </c>
      <c r="I238" s="21">
        <f>I175+I106</f>
        <v/>
      </c>
      <c r="J238" s="21">
        <f>J175+J106</f>
        <v/>
      </c>
      <c r="K238" s="21">
        <f>K175+K106</f>
        <v/>
      </c>
      <c r="L238" s="21">
        <f>L175+L106</f>
        <v/>
      </c>
      <c r="M238" s="21">
        <f>M175+M106</f>
        <v/>
      </c>
      <c r="N238" s="21">
        <f>N175+N106</f>
        <v/>
      </c>
      <c r="O238" s="21">
        <f>O175+O106</f>
        <v/>
      </c>
      <c r="P238" s="1" t="n"/>
    </row>
    <row r="239">
      <c r="A239" s="1" t="n"/>
      <c r="B239" s="1" t="n"/>
      <c r="C239" s="5" t="inlineStr">
        <is>
          <t>Liquidity Ratio</t>
        </is>
      </c>
      <c r="D239" s="1" t="n"/>
      <c r="E239" s="1" t="n"/>
      <c r="F239" s="1" t="n"/>
      <c r="G239" s="1" t="n"/>
      <c r="H239" s="22">
        <f>IF(H118&lt;&gt;0,H238/H118,0)</f>
        <v/>
      </c>
      <c r="I239" s="22">
        <f>IF(I118&lt;&gt;0,I238/I118,0)</f>
        <v/>
      </c>
      <c r="J239" s="22">
        <f>IF(J118&lt;&gt;0,J238/J118,0)</f>
        <v/>
      </c>
      <c r="K239" s="22">
        <f>IF(K118&lt;&gt;0,K238/K118,0)</f>
        <v/>
      </c>
      <c r="L239" s="22">
        <f>IF(L118&lt;&gt;0,L238/L118,0)</f>
        <v/>
      </c>
      <c r="M239" s="22">
        <f>IF(M118&lt;&gt;0,M238/M118,0)</f>
        <v/>
      </c>
      <c r="N239" s="22">
        <f>IF(N118&lt;&gt;0,N238/N118,0)</f>
        <v/>
      </c>
      <c r="O239" s="22">
        <f>IF(O118&lt;&gt;0,O238/O118,0)</f>
        <v/>
      </c>
      <c r="P239" s="1" t="n"/>
    </row>
    <row r="240" ht="8" customHeight="1"/>
  </sheetData>
  <conditionalFormatting sqref="H5:O5">
    <cfRule type="expression" priority="1" dxfId="0">
      <formula>K5="ERROR"</formula>
    </cfRule>
    <cfRule type="expression" priority="2" dxfId="1">
      <formula>K5="OK"</formula>
    </cfRule>
  </conditionalFormatting>
  <conditionalFormatting sqref="H6:O6">
    <cfRule type="expression" priority="3" dxfId="0">
      <formula>K6="ERROR"</formula>
    </cfRule>
    <cfRule type="expression" priority="4" dxfId="1">
      <formula>K6="OK"</formula>
    </cfRule>
  </conditionalFormatting>
  <conditionalFormatting sqref="H7:O7">
    <cfRule type="expression" priority="5" dxfId="0">
      <formula>K7="ERROR"</formula>
    </cfRule>
    <cfRule type="expression" priority="6" dxfId="1">
      <formula>K7="OK"</formula>
    </cfRule>
  </conditionalFormatting>
  <printOptions horizontalCentered="1"/>
  <pageMargins left="0.75" right="0.75" top="1" bottom="1" header="0.5" footer="0.5"/>
  <pageSetup orientation="landscape" scale="95"/>
  <headerFooter>
    <oddHeader/>
    <oddFooter>&amp;LPage &amp;P of &amp;N&amp;C&amp;A&amp;R&amp;D&amp;T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2" customWidth="1" min="3" max="3"/>
    <col width="16" customWidth="1" min="4" max="4"/>
    <col width="4" customWidth="1" min="5" max="5"/>
    <col width="12" customWidth="1" min="6" max="6"/>
    <col width="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4" customWidth="1" min="16" max="16"/>
  </cols>
  <sheetData>
    <row r="1">
      <c r="C1" s="8" t="inlineStr">
        <is>
          <t>Family Bank Limited</t>
        </is>
      </c>
      <c r="O1" s="9">
        <f>HYPERLINK("#'Scenarios'!D5","Currently running: "&amp;UPPER(CHOOSE('Scenarios'!$D$5,"Base","Best","Worst"))&amp;" CASE")</f>
        <v/>
      </c>
    </row>
    <row r="3">
      <c r="C3" s="10" t="inlineStr">
        <is>
          <t>Equity Valuation — Base Case</t>
        </is>
      </c>
    </row>
    <row r="5" ht="15" customHeight="1">
      <c r="A5" s="13" t="n"/>
      <c r="B5" s="13" t="n"/>
      <c r="C5" s="29" t="inlineStr">
        <is>
          <t>COST OF EQUITY (CAPM)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>
      <c r="C6" s="30" t="inlineStr">
        <is>
          <t>Risk-free rate</t>
        </is>
      </c>
      <c r="H6" s="96">
        <f>Assumptions!$H$149</f>
        <v/>
      </c>
    </row>
    <row r="7">
      <c r="C7" s="30" t="inlineStr">
        <is>
          <t>Beta</t>
        </is>
      </c>
      <c r="H7" s="97">
        <f>Assumptions!$H$151</f>
        <v/>
      </c>
    </row>
    <row r="8">
      <c r="C8" s="30" t="inlineStr">
        <is>
          <t>Equity risk premium</t>
        </is>
      </c>
      <c r="H8" s="96">
        <f>Assumptions!$H$150</f>
        <v/>
      </c>
    </row>
    <row r="9">
      <c r="C9" s="35" t="inlineStr">
        <is>
          <t>Cost of equity</t>
        </is>
      </c>
      <c r="H9" s="63">
        <f>Assumptions!$H$153</f>
        <v/>
      </c>
    </row>
    <row r="11" ht="15" customHeight="1">
      <c r="A11" s="13" t="n"/>
      <c r="B11" s="13" t="n"/>
      <c r="C11" s="29" t="inlineStr">
        <is>
          <t>DIVIDEND DISCOUNT MODEL (multi-stage)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 ht="14" customHeight="1">
      <c r="A12" s="13" t="n"/>
      <c r="B12" s="13" t="n"/>
      <c r="C12" s="14" t="inlineStr"/>
      <c r="D12" s="13" t="n"/>
      <c r="E12" s="13" t="n"/>
      <c r="F12" s="13" t="n"/>
      <c r="G12" s="13" t="n"/>
      <c r="H12" s="13" t="n"/>
      <c r="I12" s="13" t="n"/>
      <c r="J12" s="13" t="n"/>
      <c r="K12" s="15" t="inlineStr">
        <is>
          <t>2026P</t>
        </is>
      </c>
      <c r="L12" s="15" t="inlineStr">
        <is>
          <t>2027P</t>
        </is>
      </c>
      <c r="M12" s="15" t="inlineStr">
        <is>
          <t>2028P</t>
        </is>
      </c>
      <c r="N12" s="15" t="inlineStr">
        <is>
          <t>2029P</t>
        </is>
      </c>
      <c r="O12" s="15" t="inlineStr">
        <is>
          <t>2030P</t>
        </is>
      </c>
      <c r="P12" s="13" t="n"/>
    </row>
    <row r="13">
      <c r="A13" s="1" t="n"/>
      <c r="B13" s="1" t="n"/>
      <c r="C13" s="5" t="inlineStr">
        <is>
          <t>Dividends</t>
        </is>
      </c>
      <c r="D13" s="1" t="n"/>
      <c r="E13" s="1" t="n"/>
      <c r="F13" s="20" t="inlineStr">
        <is>
          <t>(KES MM)</t>
        </is>
      </c>
      <c r="G13" s="1" t="n"/>
      <c r="H13" s="1" t="n"/>
      <c r="I13" s="1" t="n"/>
      <c r="J13" s="1" t="n"/>
      <c r="K13" s="21">
        <f>'Model'!K141</f>
        <v/>
      </c>
      <c r="L13" s="21">
        <f>'Model'!L141</f>
        <v/>
      </c>
      <c r="M13" s="21">
        <f>'Model'!M141</f>
        <v/>
      </c>
      <c r="N13" s="21">
        <f>'Model'!N141</f>
        <v/>
      </c>
      <c r="O13" s="21">
        <f>'Model'!O141</f>
        <v/>
      </c>
      <c r="P13" s="1" t="n"/>
    </row>
    <row r="14">
      <c r="A14" s="1" t="n"/>
      <c r="B14" s="1" t="n"/>
      <c r="C14" s="5" t="inlineStr">
        <is>
          <t>PV of Dividends</t>
        </is>
      </c>
      <c r="D14" s="1" t="n"/>
      <c r="E14" s="1" t="n"/>
      <c r="F14" s="20" t="inlineStr">
        <is>
          <t>(KES MM)</t>
        </is>
      </c>
      <c r="G14" s="1" t="n"/>
      <c r="H14" s="1" t="n"/>
      <c r="I14" s="1" t="n"/>
      <c r="J14" s="1" t="n"/>
      <c r="K14" s="21">
        <f>K13/(1+H9)^1</f>
        <v/>
      </c>
      <c r="L14" s="21">
        <f>L13/(1+H9)^2</f>
        <v/>
      </c>
      <c r="M14" s="21">
        <f>M13/(1+H9)^3</f>
        <v/>
      </c>
      <c r="N14" s="21">
        <f>N13/(1+H9)^4</f>
        <v/>
      </c>
      <c r="O14" s="21">
        <f>O13/(1+H9)^5</f>
        <v/>
      </c>
      <c r="P14" s="1" t="n"/>
    </row>
    <row r="15">
      <c r="C15" s="30" t="inlineStr">
        <is>
          <t>Terminal value (Gordon growth)</t>
        </is>
      </c>
      <c r="H15" s="98">
        <f>O13*(1+Assumptions!$H$152)/(H9-Assumptions!$H$152)</f>
        <v/>
      </c>
    </row>
    <row r="16">
      <c r="C16" s="30" t="inlineStr">
        <is>
          <t>PV of terminal value</t>
        </is>
      </c>
      <c r="H16" s="98">
        <f>H15/(1+H9)^5</f>
        <v/>
      </c>
    </row>
    <row r="17">
      <c r="C17" s="32" t="inlineStr">
        <is>
          <t>DDM Implied Equity Value</t>
        </is>
      </c>
      <c r="H17" s="99">
        <f>SUM(K14:O14)+H16</f>
        <v/>
      </c>
    </row>
    <row r="18">
      <c r="C18" s="32" t="inlineStr">
        <is>
          <t>DDM Implied Value Per Share (KES)</t>
        </is>
      </c>
      <c r="H18" s="33">
        <f>H17/Assumptions!$H$154</f>
        <v/>
      </c>
    </row>
    <row r="20" ht="15" customHeight="1">
      <c r="A20" s="13" t="n"/>
      <c r="B20" s="13" t="n"/>
      <c r="C20" s="29" t="inlineStr">
        <is>
          <t>RESIDUAL INCOME / EXCESS RETURN MODEL (cross-check)</t>
        </is>
      </c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 ht="14" customHeight="1">
      <c r="A21" s="13" t="n"/>
      <c r="B21" s="13" t="n"/>
      <c r="C21" s="14" t="inlineStr"/>
      <c r="D21" s="13" t="n"/>
      <c r="E21" s="13" t="n"/>
      <c r="F21" s="13" t="n"/>
      <c r="G21" s="13" t="n"/>
      <c r="H21" s="13" t="n"/>
      <c r="I21" s="13" t="n"/>
      <c r="J21" s="13" t="n"/>
      <c r="K21" s="15" t="inlineStr">
        <is>
          <t>2026P</t>
        </is>
      </c>
      <c r="L21" s="15" t="inlineStr">
        <is>
          <t>2027P</t>
        </is>
      </c>
      <c r="M21" s="15" t="inlineStr">
        <is>
          <t>2028P</t>
        </is>
      </c>
      <c r="N21" s="15" t="inlineStr">
        <is>
          <t>2029P</t>
        </is>
      </c>
      <c r="O21" s="15" t="inlineStr">
        <is>
          <t>2030P</t>
        </is>
      </c>
      <c r="P21" s="13" t="n"/>
    </row>
    <row r="22">
      <c r="A22" s="1" t="n"/>
      <c r="B22" s="1" t="n"/>
      <c r="C22" s="5" t="inlineStr">
        <is>
          <t>Book Equity (period-end)</t>
        </is>
      </c>
      <c r="D22" s="1" t="n"/>
      <c r="E22" s="1" t="n"/>
      <c r="F22" s="20" t="inlineStr">
        <is>
          <t>(KES MM)</t>
        </is>
      </c>
      <c r="G22" s="1" t="n"/>
      <c r="H22" s="1" t="n"/>
      <c r="I22" s="1" t="n"/>
      <c r="J22" s="1" t="n"/>
      <c r="K22" s="21">
        <f>'Model'!K206</f>
        <v/>
      </c>
      <c r="L22" s="21">
        <f>'Model'!L206</f>
        <v/>
      </c>
      <c r="M22" s="21">
        <f>'Model'!M206</f>
        <v/>
      </c>
      <c r="N22" s="21">
        <f>'Model'!N206</f>
        <v/>
      </c>
      <c r="O22" s="21">
        <f>'Model'!O206</f>
        <v/>
      </c>
      <c r="P22" s="1" t="n"/>
    </row>
    <row r="23">
      <c r="A23" s="1" t="n"/>
      <c r="B23" s="1" t="n"/>
      <c r="C23" s="5" t="inlineStr">
        <is>
          <t>ROE (on opening equity)</t>
        </is>
      </c>
      <c r="D23" s="1" t="n"/>
      <c r="E23" s="1" t="n"/>
      <c r="F23" s="1" t="n"/>
      <c r="G23" s="1" t="n"/>
      <c r="H23" s="1" t="n"/>
      <c r="I23" s="1" t="n"/>
      <c r="J23" s="1" t="n"/>
      <c r="K23" s="100">
        <f>IFERROR('Model'!K140/Assumptions!$H$128,0)</f>
        <v/>
      </c>
      <c r="L23" s="22">
        <f>IFERROR('Model'!L140/K22,0)</f>
        <v/>
      </c>
      <c r="M23" s="22">
        <f>IFERROR('Model'!M140/L22,0)</f>
        <v/>
      </c>
      <c r="N23" s="22">
        <f>IFERROR('Model'!N140/M22,0)</f>
        <v/>
      </c>
      <c r="O23" s="22">
        <f>IFERROR('Model'!O140/N22,0)</f>
        <v/>
      </c>
      <c r="P23" s="1" t="n"/>
    </row>
    <row r="24">
      <c r="A24" s="1" t="n"/>
      <c r="B24" s="1" t="n"/>
      <c r="C24" s="5" t="inlineStr">
        <is>
          <t>Residual Income</t>
        </is>
      </c>
      <c r="D24" s="1" t="n"/>
      <c r="E24" s="1" t="n"/>
      <c r="F24" s="20" t="inlineStr">
        <is>
          <t>(KES MM)</t>
        </is>
      </c>
      <c r="G24" s="1" t="n"/>
      <c r="H24" s="1" t="n"/>
      <c r="I24" s="1" t="n"/>
      <c r="J24" s="1" t="n"/>
      <c r="K24" s="87">
        <f>(K23-H9)*Assumptions!$H$128</f>
        <v/>
      </c>
      <c r="L24" s="21">
        <f>(L23-H9)*K22</f>
        <v/>
      </c>
      <c r="M24" s="21">
        <f>(M23-H9)*L22</f>
        <v/>
      </c>
      <c r="N24" s="21">
        <f>(N23-H9)*M22</f>
        <v/>
      </c>
      <c r="O24" s="21">
        <f>(O23-H9)*N22</f>
        <v/>
      </c>
      <c r="P24" s="1" t="n"/>
    </row>
    <row r="25">
      <c r="A25" s="1" t="n"/>
      <c r="B25" s="1" t="n"/>
      <c r="C25" s="5" t="inlineStr">
        <is>
          <t>PV of Residual Income</t>
        </is>
      </c>
      <c r="D25" s="1" t="n"/>
      <c r="E25" s="1" t="n"/>
      <c r="F25" s="20" t="inlineStr">
        <is>
          <t>(KES MM)</t>
        </is>
      </c>
      <c r="G25" s="1" t="n"/>
      <c r="H25" s="1" t="n"/>
      <c r="I25" s="1" t="n"/>
      <c r="J25" s="1" t="n"/>
      <c r="K25" s="21">
        <f>K24/(1+H9)^1</f>
        <v/>
      </c>
      <c r="L25" s="21">
        <f>L24/(1+H9)^2</f>
        <v/>
      </c>
      <c r="M25" s="21">
        <f>M24/(1+H9)^3</f>
        <v/>
      </c>
      <c r="N25" s="21">
        <f>N24/(1+H9)^4</f>
        <v/>
      </c>
      <c r="O25" s="21">
        <f>O24/(1+H9)^5</f>
        <v/>
      </c>
      <c r="P25" s="1" t="n"/>
    </row>
    <row r="26">
      <c r="C26" s="30" t="inlineStr">
        <is>
          <t>Terminal residual income value</t>
        </is>
      </c>
      <c r="H26" s="98">
        <f>O24*(1+Assumptions!$H$152)/(H9-Assumptions!$H$152)</f>
        <v/>
      </c>
    </row>
    <row r="27">
      <c r="C27" s="30" t="inlineStr">
        <is>
          <t>PV of terminal residual income</t>
        </is>
      </c>
      <c r="H27" s="98">
        <f>H26/(1+H9)^5</f>
        <v/>
      </c>
    </row>
    <row r="28">
      <c r="C28" s="32" t="inlineStr">
        <is>
          <t>Residual Income Implied Equity Value</t>
        </is>
      </c>
      <c r="H28" s="99">
        <f>Assumptions!$H$128+SUM(K25:O25)+H27</f>
        <v/>
      </c>
    </row>
    <row r="29">
      <c r="C29" s="32" t="inlineStr">
        <is>
          <t>Residual Income Implied Value Per Share (KES)</t>
        </is>
      </c>
      <c r="H29" s="33">
        <f>H28/Assumptions!$H$154</f>
        <v/>
      </c>
    </row>
    <row r="31" ht="15" customHeight="1">
      <c r="A31" s="13" t="n"/>
      <c r="B31" s="13" t="n"/>
      <c r="C31" s="29" t="inlineStr">
        <is>
          <t>RELATIVE VALUATION — P/B-ROE REGRESSION</t>
        </is>
      </c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</row>
    <row r="32">
      <c r="C32" s="30" t="inlineStr">
        <is>
          <t>Final-year ROE (on opening equity)</t>
        </is>
      </c>
      <c r="H32" s="55">
        <f>O23</f>
        <v/>
      </c>
    </row>
    <row r="33">
      <c r="C33" s="30" t="inlineStr">
        <is>
          <t>Implied P/B (regression slope x ROE + intercept)</t>
        </is>
      </c>
      <c r="H33" s="44">
        <f>Assumptions!$H$174*H32+Assumptions!$H$175</f>
        <v/>
      </c>
    </row>
    <row r="34">
      <c r="C34" s="32" t="inlineStr">
        <is>
          <t>P/B-ROE Regression Implied Equity Value</t>
        </is>
      </c>
      <c r="H34" s="99">
        <f>H33*'Model'!O206</f>
        <v/>
      </c>
    </row>
    <row r="35">
      <c r="C35" s="32" t="inlineStr">
        <is>
          <t>P/B-ROE Regression Implied Value Per Share (KES)</t>
        </is>
      </c>
      <c r="H35" s="33">
        <f>H34/Assumptions!$H$154</f>
        <v/>
      </c>
    </row>
    <row r="37" ht="15" customHeight="1">
      <c r="A37" s="13" t="n"/>
      <c r="B37" s="13" t="n"/>
      <c r="C37" s="29" t="inlineStr">
        <is>
          <t>SUMMARY — IMPLIED EQUITY VALUE BY METHOD</t>
        </is>
      </c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</row>
    <row r="38">
      <c r="C38" s="35" t="inlineStr">
        <is>
          <t>Method</t>
        </is>
      </c>
      <c r="H38" s="101" t="inlineStr">
        <is>
          <t>Total (KES MM)</t>
        </is>
      </c>
      <c r="I38" s="101" t="inlineStr">
        <is>
          <t>Per Share (KES)</t>
        </is>
      </c>
    </row>
    <row r="39">
      <c r="C39" s="35" t="inlineStr">
        <is>
          <t>Dividend Discount Model (DDM)</t>
        </is>
      </c>
      <c r="H39" s="99">
        <f>H17</f>
        <v/>
      </c>
      <c r="I39" s="33">
        <f>H18</f>
        <v/>
      </c>
    </row>
    <row r="40">
      <c r="C40" s="35" t="inlineStr">
        <is>
          <t>Residual Income / Excess Return</t>
        </is>
      </c>
      <c r="H40" s="99">
        <f>H28</f>
        <v/>
      </c>
      <c r="I40" s="33">
        <f>H29</f>
        <v/>
      </c>
    </row>
    <row r="41">
      <c r="C41" s="35" t="inlineStr">
        <is>
          <t>P/B-ROE Regression (relative)</t>
        </is>
      </c>
      <c r="H41" s="99">
        <f>H34</f>
        <v/>
      </c>
      <c r="I41" s="33">
        <f>H35</f>
        <v/>
      </c>
    </row>
    <row r="43" ht="15" customHeight="1">
      <c r="A43" s="13" t="n"/>
      <c r="B43" s="13" t="n"/>
      <c r="C43" s="29" t="inlineStr">
        <is>
          <t>BLENDED VALUATION (weighted: DDM primary / RI cross-check / P-B-ROE market check)</t>
        </is>
      </c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</row>
    <row r="44">
      <c r="C44" s="32" t="inlineStr">
        <is>
          <t>Blended Implied Equity Value</t>
        </is>
      </c>
      <c r="H44" s="99">
        <f>Assumptions!$H$157*H17+Assumptions!$H$158*H28+Assumptions!$H$159*H34</f>
        <v/>
      </c>
      <c r="J44" s="34" t="inlineStr">
        <is>
          <t>Weights are editable on the Assumptions sheet — see BLUEPRINT.md "Blended valuation" for the industry-practice rationale behind this weighting.</t>
        </is>
      </c>
    </row>
    <row r="45">
      <c r="C45" s="32" t="inlineStr">
        <is>
          <t>Blended Implied Value Per Share (KES)</t>
        </is>
      </c>
      <c r="H45" s="33">
        <f>H44/Assumptions!$H$154</f>
        <v/>
      </c>
    </row>
    <row r="47" ht="15" customHeight="1">
      <c r="A47" s="13" t="n"/>
      <c r="B47" s="13" t="n"/>
      <c r="C47" s="29" t="inlineStr">
        <is>
          <t>BOOK VALUE PER SHARE (Actuals, cross-check)</t>
        </is>
      </c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</row>
    <row r="48">
      <c r="C48" s="34" t="inlineStr">
        <is>
          <t>Total Equity ÷ that year's own share count (share count changed year to year via the FY2023 rights issue and FY2025 private placement — not the FY2025 count applied retroactively). Uses our Bank-basis Total Equity, so runs slightly below Family Bank's own disclosed Group-basis BVPS (e.g. FY2025: ours ~19.31 vs the disclosed 19.62) — expected, not an error, per this model's bank-not-group basis.</t>
        </is>
      </c>
    </row>
    <row r="50" ht="14" customHeight="1">
      <c r="A50" s="13" t="n"/>
      <c r="B50" s="13" t="n"/>
      <c r="C50" s="14" t="inlineStr"/>
      <c r="D50" s="13" t="n"/>
      <c r="E50" s="13" t="n"/>
      <c r="F50" s="13" t="n"/>
      <c r="G50" s="13" t="n"/>
      <c r="H50" s="15" t="inlineStr">
        <is>
          <t>2023A</t>
        </is>
      </c>
      <c r="I50" s="15" t="inlineStr">
        <is>
          <t>2024A</t>
        </is>
      </c>
      <c r="J50" s="15" t="inlineStr">
        <is>
          <t>2025A</t>
        </is>
      </c>
      <c r="K50" s="13" t="n"/>
      <c r="L50" s="13" t="n"/>
      <c r="M50" s="13" t="n"/>
      <c r="N50" s="13" t="n"/>
      <c r="O50" s="13" t="n"/>
      <c r="P50" s="13" t="n"/>
    </row>
    <row r="51">
      <c r="A51" s="1" t="n"/>
      <c r="B51" s="1" t="n"/>
      <c r="C51" s="80" t="inlineStr">
        <is>
          <t>Book Value Per Share (KES)</t>
        </is>
      </c>
      <c r="D51" s="1" t="n"/>
      <c r="E51" s="1" t="n"/>
      <c r="F51" s="1" t="n"/>
      <c r="G51" s="1" t="n"/>
      <c r="H51" s="102">
        <f>IFERROR('Model'!H206/1287.108,0)</f>
        <v/>
      </c>
      <c r="I51" s="102">
        <f>IFERROR('Model'!I206/1305.195,0)</f>
        <v/>
      </c>
      <c r="J51" s="102">
        <f>IFERROR('Model'!J206/1662.655,0)</f>
        <v/>
      </c>
      <c r="K51" s="1" t="n"/>
      <c r="L51" s="1" t="n"/>
      <c r="M51" s="1" t="n"/>
      <c r="N51" s="1" t="n"/>
      <c r="O51" s="1" t="n"/>
      <c r="P51" s="1" t="n"/>
    </row>
    <row r="52" ht="5" customHeight="1"/>
    <row r="53" ht="15" customHeight="1">
      <c r="A53" s="13" t="n"/>
      <c r="B53" s="13" t="n"/>
      <c r="C53" s="29" t="inlineStr">
        <is>
          <t>FINANCIAL STATEMENT QUALITY ANALYSIS (Actuals only — 2023-2025)</t>
        </is>
      </c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</row>
    <row r="54">
      <c r="C54" s="34" t="inlineStr">
        <is>
          <t>Evaluates the reported actuals for signs of earnings management/manipulation — scoped to the 3 actual years only. The projection is our own modeling, not a filing to scrutinize.</t>
        </is>
      </c>
    </row>
    <row r="56" ht="14" customHeight="1">
      <c r="A56" s="13" t="n"/>
      <c r="B56" s="13" t="n"/>
      <c r="C56" s="14" t="inlineStr"/>
      <c r="D56" s="13" t="n"/>
      <c r="E56" s="13" t="n"/>
      <c r="F56" s="13" t="n"/>
      <c r="G56" s="13" t="n"/>
      <c r="H56" s="15" t="inlineStr">
        <is>
          <t>2023A</t>
        </is>
      </c>
      <c r="I56" s="15" t="inlineStr">
        <is>
          <t>2024A</t>
        </is>
      </c>
      <c r="J56" s="15" t="inlineStr">
        <is>
          <t>2025A</t>
        </is>
      </c>
      <c r="K56" s="13" t="n"/>
      <c r="L56" s="13" t="n"/>
      <c r="M56" s="13" t="n"/>
      <c r="N56" s="13" t="n"/>
      <c r="O56" s="13" t="n"/>
      <c r="P56" s="13" t="n"/>
    </row>
    <row r="57" ht="5" customHeight="1"/>
    <row r="58" ht="15" customHeight="1">
      <c r="A58" s="13" t="n"/>
      <c r="B58" s="13" t="n"/>
      <c r="C58" s="29" t="inlineStr">
        <is>
          <t>Accruals Ratio (Sloan, 1996) — applies to banks unmodified</t>
        </is>
      </c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</row>
    <row r="59">
      <c r="C59" s="34" t="inlineStr">
        <is>
          <t>(PAT − Operating Cash Flow) / Average Total Assets. A rising ratio means profit is increasingly outpacing the cash actually generated — the classic earnings-quality red flag.</t>
        </is>
      </c>
    </row>
    <row r="60">
      <c r="A60" s="1" t="n"/>
      <c r="B60" s="1" t="n"/>
      <c r="C60" s="5" t="inlineStr">
        <is>
          <t>Average Total Assets (2023: period-end — no 2022 figure on record)</t>
        </is>
      </c>
      <c r="D60" s="1" t="n"/>
      <c r="E60" s="1" t="n"/>
      <c r="F60" s="20" t="inlineStr">
        <is>
          <t>(KES MM)</t>
        </is>
      </c>
      <c r="G60" s="1" t="n"/>
      <c r="H60" s="21">
        <f>'Model'!H189</f>
        <v/>
      </c>
      <c r="I60" s="21">
        <f>('Model'!H189+'Model'!I189)/2</f>
        <v/>
      </c>
      <c r="J60" s="21">
        <f>('Model'!I189+'Model'!J189)/2</f>
        <v/>
      </c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5" t="inlineStr">
        <is>
          <t>Accruals Ratio</t>
        </is>
      </c>
      <c r="D61" s="1" t="n"/>
      <c r="E61" s="1" t="n"/>
      <c r="F61" s="1" t="n"/>
      <c r="G61" s="1" t="n"/>
      <c r="H61" s="103">
        <f>('Model'!H140-'Model'!H171)/H60</f>
        <v/>
      </c>
      <c r="I61" s="103">
        <f>('Model'!I140-'Model'!I171)/I60</f>
        <v/>
      </c>
      <c r="J61" s="103">
        <f>('Model'!J140-'Model'!J171)/J60</f>
        <v/>
      </c>
      <c r="K61" s="1" t="n"/>
      <c r="L61" s="1" t="n"/>
      <c r="M61" s="1" t="n"/>
      <c r="N61" s="1" t="n"/>
      <c r="O61" s="1" t="n"/>
      <c r="P61" s="1" t="n"/>
    </row>
    <row r="63" ht="15" customHeight="1">
      <c r="A63" s="13" t="n"/>
      <c r="B63" s="13" t="n"/>
      <c r="C63" s="29" t="inlineStr">
        <is>
          <t>Profitability vs. Operating Cash Flow Trend</t>
        </is>
      </c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</row>
    <row r="64">
      <c r="A64" s="1" t="n"/>
      <c r="B64" s="1" t="n"/>
      <c r="C64" s="5" t="inlineStr">
        <is>
          <t>Net Profit After Tax (PAT)</t>
        </is>
      </c>
      <c r="D64" s="1" t="n"/>
      <c r="E64" s="1" t="n"/>
      <c r="F64" s="20" t="inlineStr">
        <is>
          <t>(KES MM)</t>
        </is>
      </c>
      <c r="G64" s="1" t="n"/>
      <c r="H64" s="21">
        <f>'Model'!H140</f>
        <v/>
      </c>
      <c r="I64" s="21">
        <f>'Model'!I140</f>
        <v/>
      </c>
      <c r="J64" s="21">
        <f>'Model'!J140</f>
        <v/>
      </c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5" t="inlineStr">
        <is>
          <t>Operating Cash Flow (OCF)</t>
        </is>
      </c>
      <c r="D65" s="1" t="n"/>
      <c r="E65" s="1" t="n"/>
      <c r="F65" s="20" t="inlineStr">
        <is>
          <t>(KES MM)</t>
        </is>
      </c>
      <c r="G65" s="1" t="n"/>
      <c r="H65" s="21">
        <f>'Model'!H171</f>
        <v/>
      </c>
      <c r="I65" s="21">
        <f>'Model'!I171</f>
        <v/>
      </c>
      <c r="J65" s="21">
        <f>'Model'!J171</f>
        <v/>
      </c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5" t="inlineStr">
        <is>
          <t>OCF / PAT</t>
        </is>
      </c>
      <c r="D66" s="1" t="n"/>
      <c r="E66" s="1" t="n"/>
      <c r="F66" s="1" t="n"/>
      <c r="G66" s="1" t="n"/>
      <c r="H66" s="22">
        <f>IFERROR('Model'!H171/'Model'!H140,0)</f>
        <v/>
      </c>
      <c r="I66" s="22">
        <f>IFERROR('Model'!I171/'Model'!I140,0)</f>
        <v/>
      </c>
      <c r="J66" s="22">
        <f>IFERROR('Model'!J171/'Model'!J140,0)</f>
        <v/>
      </c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5" t="inlineStr">
        <is>
          <t>Trend Flag (OCF/PAT vs. prior year)</t>
        </is>
      </c>
      <c r="D67" s="1" t="n"/>
      <c r="E67" s="1" t="n"/>
      <c r="F67" s="1" t="n"/>
      <c r="G67" s="1" t="n"/>
      <c r="H67" s="86" t="n"/>
      <c r="I67" s="21">
        <f>IF(I66&lt;H66,"FLAG: declining","OK")</f>
        <v/>
      </c>
      <c r="J67" s="21">
        <f>IF(J66&lt;I66,"FLAG: declining","OK")</f>
        <v/>
      </c>
      <c r="K67" s="1" t="n"/>
      <c r="L67" s="1" t="n"/>
      <c r="M67" s="1" t="n"/>
      <c r="N67" s="1" t="n"/>
      <c r="O67" s="1" t="n"/>
      <c r="P67" s="1" t="n"/>
    </row>
    <row r="69" ht="15" customHeight="1">
      <c r="A69" s="13" t="n"/>
      <c r="B69" s="13" t="n"/>
      <c r="C69" s="29" t="inlineStr">
        <is>
          <t>Texas Ratio — bank-specific distress indicator (Cassidy, 1980s Texas banking crisis)</t>
        </is>
      </c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</row>
    <row r="70">
      <c r="C70" s="34" t="inlineStr">
        <is>
          <t>Stage 3 Gross NPLs / (Total Equity + Total Loan Loss Reserves). Historically, &gt;100% has been a strong signal of severe bank distress.</t>
        </is>
      </c>
    </row>
    <row r="71">
      <c r="A71" s="1" t="n"/>
      <c r="B71" s="1" t="n"/>
      <c r="C71" s="5" t="inlineStr">
        <is>
          <t>Texas Ratio (Total Equity used as Tangible Common Equity proxy — no intangibles disclosed separately)</t>
        </is>
      </c>
      <c r="D71" s="1" t="n"/>
      <c r="E71" s="1" t="n"/>
      <c r="F71" s="1" t="n"/>
      <c r="G71" s="1" t="n"/>
      <c r="H71" s="22">
        <f>IFERROR('Model'!H60/('Model'!H206+'Model'!H58),0)</f>
        <v/>
      </c>
      <c r="I71" s="22">
        <f>IFERROR('Model'!I60/('Model'!I206+'Model'!I58),0)</f>
        <v/>
      </c>
      <c r="J71" s="22">
        <f>IFERROR('Model'!J60/('Model'!J206+'Model'!J58),0)</f>
        <v/>
      </c>
      <c r="K71" s="1" t="n"/>
      <c r="L71" s="1" t="n"/>
      <c r="M71" s="1" t="n"/>
      <c r="N71" s="1" t="n"/>
      <c r="O71" s="1" t="n"/>
      <c r="P71" s="1" t="n"/>
    </row>
    <row r="73" ht="15" customHeight="1">
      <c r="A73" s="13" t="n"/>
      <c r="B73" s="13" t="n"/>
      <c r="C73" s="29" t="inlineStr">
        <is>
          <t>Beneish M-Score — Adapted Proxy for Financial Institutions</t>
        </is>
      </c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</row>
    <row r="74">
      <c r="C74" s="104" t="inlineStr">
        <is>
          <t>CAVEAT: the standard Beneish M-Score explicitly excludes financial institutions — Sales/Receivables/Gross-Margin/COGS concepts don't translate to a bank balance sheet. Below substitutes bank-equivalent concepts per component and omits the Depreciation Index (no actual-year D&amp;A breakdown disclosed). Interpret directionally only — NOT against the original model's -2.22 threshold.</t>
        </is>
      </c>
    </row>
    <row r="75">
      <c r="C75" s="34" t="inlineStr">
        <is>
          <t>Every index needs a prior year, so only 2024 and 2025 are computable (2023 has no 2022 comparative on record).</t>
        </is>
      </c>
    </row>
    <row r="77">
      <c r="A77" s="1" t="n"/>
      <c r="B77" s="1" t="n"/>
      <c r="C77" s="5" t="inlineStr">
        <is>
          <t>DSRI proxy (Net Loans / Total Op. Income index)</t>
        </is>
      </c>
      <c r="D77" s="1" t="n"/>
      <c r="E77" s="1" t="n"/>
      <c r="F77" s="1" t="n"/>
      <c r="G77" s="1" t="n"/>
      <c r="H77" s="105" t="n"/>
      <c r="I77" s="106">
        <f>IFERROR(('Model'!I59/('Model'!I124+'Model'!I129))/('Model'!H59/('Model'!H124+'Model'!H129)),0)</f>
        <v/>
      </c>
      <c r="J77" s="106">
        <f>IFERROR(('Model'!J59/('Model'!J124+'Model'!J129))/('Model'!I59/('Model'!I124+'Model'!I129)),0)</f>
        <v/>
      </c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5" t="inlineStr">
        <is>
          <t>GMI proxy (prior NIM / current NIM)</t>
        </is>
      </c>
      <c r="D78" s="1" t="n"/>
      <c r="E78" s="1" t="n"/>
      <c r="F78" s="1" t="n"/>
      <c r="G78" s="1" t="n"/>
      <c r="H78" s="105" t="n"/>
      <c r="I78" s="106">
        <f>IFERROR(('Model'!H124/'Model'!H118)/('Model'!I124/'Model'!I118),0)</f>
        <v/>
      </c>
      <c r="J78" s="106">
        <f>IFERROR(('Model'!I124/'Model'!I118)/('Model'!J124/'Model'!J118),0)</f>
        <v/>
      </c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5" t="inlineStr">
        <is>
          <t>AQI proxy (Other Assets / Total Assets index)</t>
        </is>
      </c>
      <c r="D79" s="1" t="n"/>
      <c r="E79" s="1" t="n"/>
      <c r="F79" s="1" t="n"/>
      <c r="G79" s="1" t="n"/>
      <c r="H79" s="105" t="n"/>
      <c r="I79" s="106">
        <f>IFERROR(('Model'!I159/'Model'!I189)/('Model'!H159/'Model'!H189),0)</f>
        <v/>
      </c>
      <c r="J79" s="106">
        <f>IFERROR(('Model'!J159/'Model'!J189)/('Model'!I159/'Model'!I189),0)</f>
        <v/>
      </c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5" t="inlineStr">
        <is>
          <t>SGI (Total Operating Income growth index)</t>
        </is>
      </c>
      <c r="D80" s="1" t="n"/>
      <c r="E80" s="1" t="n"/>
      <c r="F80" s="1" t="n"/>
      <c r="G80" s="1" t="n"/>
      <c r="H80" s="105" t="n"/>
      <c r="I80" s="106">
        <f>IFERROR(('Model'!I124+'Model'!I129)/('Model'!H124+'Model'!H129),0)</f>
        <v/>
      </c>
      <c r="J80" s="106">
        <f>IFERROR(('Model'!J124+'Model'!J129)/('Model'!I124+'Model'!I129),0)</f>
        <v/>
      </c>
      <c r="K80" s="1" t="n"/>
      <c r="L80" s="1" t="n"/>
      <c r="M80" s="1" t="n"/>
      <c r="N80" s="1" t="n"/>
      <c r="O80" s="1" t="n"/>
      <c r="P80" s="1" t="n"/>
    </row>
    <row r="81">
      <c r="A81" s="1" t="n"/>
      <c r="B81" s="1" t="n"/>
      <c r="C81" s="5" t="inlineStr">
        <is>
          <t>SGAI proxy (Cost-to-Income index)</t>
        </is>
      </c>
      <c r="D81" s="1" t="n"/>
      <c r="E81" s="1" t="n"/>
      <c r="F81" s="1" t="n"/>
      <c r="G81" s="1" t="n"/>
      <c r="H81" s="105" t="n"/>
      <c r="I81" s="106">
        <f>IFERROR(('Model'!I136/('Model'!I124+'Model'!I129))/('Model'!H136/('Model'!H124+'Model'!H129)),0)</f>
        <v/>
      </c>
      <c r="J81" s="106">
        <f>IFERROR(('Model'!J136/('Model'!J124+'Model'!J129))/('Model'!I136/('Model'!I124+'Model'!I129)),0)</f>
        <v/>
      </c>
      <c r="K81" s="1" t="n"/>
      <c r="L81" s="1" t="n"/>
      <c r="M81" s="1" t="n"/>
      <c r="N81" s="1" t="n"/>
      <c r="O81" s="1" t="n"/>
      <c r="P81" s="1" t="n"/>
    </row>
    <row r="82">
      <c r="A82" s="1" t="n"/>
      <c r="B82" s="1" t="n"/>
      <c r="C82" s="5" t="inlineStr">
        <is>
          <t>TATA (Total Accruals / Total Assets, point-in-time)</t>
        </is>
      </c>
      <c r="D82" s="1" t="n"/>
      <c r="E82" s="1" t="n"/>
      <c r="F82" s="1" t="n"/>
      <c r="G82" s="1" t="n"/>
      <c r="H82" s="103">
        <f>('Model'!H140-'Model'!H171)/'Model'!H189</f>
        <v/>
      </c>
      <c r="I82" s="103">
        <f>('Model'!I140-'Model'!I171)/'Model'!I189</f>
        <v/>
      </c>
      <c r="J82" s="103">
        <f>('Model'!J140-'Model'!J171)/'Model'!J189</f>
        <v/>
      </c>
      <c r="K82" s="1" t="n"/>
      <c r="L82" s="1" t="n"/>
      <c r="M82" s="1" t="n"/>
      <c r="N82" s="1" t="n"/>
      <c r="O82" s="1" t="n"/>
      <c r="P82" s="1" t="n"/>
    </row>
    <row r="83">
      <c r="A83" s="1" t="n"/>
      <c r="B83" s="1" t="n"/>
      <c r="C83" s="5" t="inlineStr">
        <is>
          <t>LVGI (Leverage Index)</t>
        </is>
      </c>
      <c r="D83" s="1" t="n"/>
      <c r="E83" s="1" t="n"/>
      <c r="F83" s="1" t="n"/>
      <c r="G83" s="1" t="n"/>
      <c r="H83" s="105" t="n"/>
      <c r="I83" s="106">
        <f>IFERROR(('Model'!I195/'Model'!I189)/('Model'!H195/'Model'!H189),0)</f>
        <v/>
      </c>
      <c r="J83" s="106">
        <f>IFERROR(('Model'!J195/'Model'!J189)/('Model'!I195/'Model'!I189),0)</f>
        <v/>
      </c>
      <c r="K83" s="1" t="n"/>
      <c r="L83" s="1" t="n"/>
      <c r="M83" s="1" t="n"/>
      <c r="N83" s="1" t="n"/>
      <c r="O83" s="1" t="n"/>
      <c r="P83" s="1" t="n"/>
    </row>
    <row r="84">
      <c r="A84" s="1" t="n"/>
      <c r="B84" s="1" t="n"/>
      <c r="C84" s="80" t="inlineStr">
        <is>
          <t>Beneish M-Score (adapted proxy, DEPI omitted)</t>
        </is>
      </c>
      <c r="D84" s="1" t="n"/>
      <c r="E84" s="1" t="n"/>
      <c r="F84" s="1" t="n"/>
      <c r="G84" s="1" t="n"/>
      <c r="H84" s="107" t="n"/>
      <c r="I84" s="108">
        <f>-4.84+0.92*I77+0.528*I78+0.404*I79+0.892*I80-0.172*I81+4.679*I82-0.327*I83</f>
        <v/>
      </c>
      <c r="J84" s="108">
        <f>-4.84+0.92*J77+0.528*J78+0.404*J79+0.892*J80-0.172*J81+4.679*J82-0.327*J83</f>
        <v/>
      </c>
      <c r="K84" s="1" t="n"/>
      <c r="L84" s="1" t="n"/>
      <c r="M84" s="1" t="n"/>
      <c r="N84" s="1" t="n"/>
      <c r="O84" s="1" t="n"/>
      <c r="P84" s="1" t="n"/>
    </row>
  </sheetData>
  <printOptions horizontalCentered="1"/>
  <pageMargins left="0.75" right="0.75" top="1" bottom="1" header="0.5" footer="0.5"/>
  <pageSetup orientation="landscape" scale="95"/>
  <headerFooter>
    <oddHeader/>
    <oddFooter>&amp;LPage &amp;P of &amp;N&amp;C&amp;A&amp;R&amp;D&amp;T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4" customWidth="1" min="3" max="3"/>
    <col width="62" customWidth="1" min="4" max="4"/>
    <col width="12" customWidth="1" min="5" max="5"/>
    <col width="40" customWidth="1" min="6" max="6"/>
    <col width="14" customWidth="1" min="7" max="7"/>
    <col width="4" customWidth="1" min="8" max="8"/>
  </cols>
  <sheetData>
    <row r="1" ht="18" customHeight="1">
      <c r="A1" s="11" t="n"/>
      <c r="B1" s="11" t="n"/>
      <c r="C1" s="12" t="inlineStr">
        <is>
          <t>FAMILY BANK LIMITED — DATA SOURCES &amp; REFERENCES</t>
        </is>
      </c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</row>
    <row r="2" ht="28" customHeight="1">
      <c r="C2" s="109" t="inlineStr">
        <is>
          <t>Third-party market data used in this model's Output-sheet valuation (CAPM inputs, peer bank P/B multiples). Family Bank's own audited financial-statement figures are cited separately via research_output.md and the Assumptions sheet's data-provenance color legend.</t>
        </is>
      </c>
    </row>
    <row r="4" ht="15" customHeight="1">
      <c r="A4" s="11" t="n"/>
      <c r="B4" s="11" t="n"/>
      <c r="C4" s="83" t="inlineStr">
        <is>
          <t>REFERENCES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</row>
    <row r="5">
      <c r="C5" s="32" t="inlineStr">
        <is>
          <t>#</t>
        </is>
      </c>
      <c r="D5" s="32" t="inlineStr">
        <is>
          <t>Item / Value</t>
        </is>
      </c>
      <c r="E5" s="110" t="inlineStr">
        <is>
          <t>Value</t>
        </is>
      </c>
      <c r="F5" s="32" t="inlineStr">
        <is>
          <t>Source</t>
        </is>
      </c>
      <c r="G5" s="110" t="inlineStr">
        <is>
          <t>Accessed</t>
        </is>
      </c>
    </row>
    <row r="6" ht="26" customHeight="1">
      <c r="C6" s="10" t="inlineStr">
        <is>
          <t>[1]</t>
        </is>
      </c>
      <c r="D6" s="111" t="inlineStr">
        <is>
          <t>Risk-free rate — Kenya 10-Year Government Bond Yield</t>
        </is>
      </c>
      <c r="E6" s="112" t="inlineStr">
        <is>
          <t>12.32%</t>
        </is>
      </c>
      <c r="F6" s="113">
        <f>HYPERLINK("https://tradingeconomics.com/kenya/government-bond-yield","Trading Economics")</f>
        <v/>
      </c>
      <c r="G6" s="112" t="inlineStr">
        <is>
          <t>2026-07-02</t>
        </is>
      </c>
    </row>
    <row r="7" ht="26" customHeight="1">
      <c r="C7" s="10" t="inlineStr">
        <is>
          <t>[2]</t>
        </is>
      </c>
      <c r="D7" s="111" t="inlineStr">
        <is>
          <t>Equity risk premium — Kenya (total: mature-market ERP + country risk premium)</t>
        </is>
      </c>
      <c r="E7" s="112" t="inlineStr">
        <is>
          <t>13.94%</t>
        </is>
      </c>
      <c r="F7" s="113">
        <f>HYPERLINK("https://pages.stern.nyu.edu/~adamodar/New_Home_Page/datafile/ctryprem.html","Aswath Damodaran, 'Country Default Spreads and Risk Premiums' (NYU Stern, Jan 2026 data update)")</f>
        <v/>
      </c>
      <c r="G7" s="112" t="inlineStr">
        <is>
          <t>2026-07-24</t>
        </is>
      </c>
    </row>
    <row r="8" ht="26" customHeight="1">
      <c r="C8" s="10" t="inlineStr">
        <is>
          <t>[3]</t>
        </is>
      </c>
      <c r="D8" s="111" t="inlineStr">
        <is>
          <t>Beta — average of 6 NSE-listed Kenyan peer bank equity betas (Absa 0.44, Co-op 0.52, DTB 0.28, Equity Group 0.59, I&amp;M 0.80, KCB 0.66)</t>
        </is>
      </c>
      <c r="E8" s="112" t="inlineStr">
        <is>
          <t>0.55</t>
        </is>
      </c>
      <c r="F8" s="113">
        <f>HYPERLINK("https://live.mystocks.co.ke/","MyStocks Kenya")</f>
        <v/>
      </c>
      <c r="G8" s="112" t="inlineStr">
        <is>
          <t>2026-07-24</t>
        </is>
      </c>
    </row>
    <row r="9" ht="26" customHeight="1">
      <c r="C9" s="10" t="inlineStr">
        <is>
          <t>[4]</t>
        </is>
      </c>
      <c r="D9" s="111" t="inlineStr">
        <is>
          <t>Absa Bank Kenya — Price/Book (BVPS 19.58, share price 33.00)</t>
        </is>
      </c>
      <c r="E9" s="112" t="inlineStr">
        <is>
          <t>1.69x</t>
        </is>
      </c>
      <c r="F9" s="113">
        <f>HYPERLINK("https://stockanalysis.com/","StockAnalysis.com")</f>
        <v/>
      </c>
      <c r="G9" s="112" t="inlineStr">
        <is>
          <t>2026-07-24</t>
        </is>
      </c>
    </row>
    <row r="10" ht="26" customHeight="1">
      <c r="C10" s="10" t="inlineStr">
        <is>
          <t>[5]</t>
        </is>
      </c>
      <c r="D10" s="111" t="inlineStr">
        <is>
          <t>Co-operative Bank of Kenya — Price/Book (BVPS 29.61, share price 35.00)</t>
        </is>
      </c>
      <c r="E10" s="112" t="inlineStr">
        <is>
          <t>1.18x</t>
        </is>
      </c>
      <c r="F10" s="113">
        <f>HYPERLINK("https://stockanalysis.com/","StockAnalysis.com")</f>
        <v/>
      </c>
      <c r="G10" s="112" t="inlineStr">
        <is>
          <t>2026-07-24</t>
        </is>
      </c>
    </row>
    <row r="11" ht="26" customHeight="1">
      <c r="C11" s="10" t="inlineStr">
        <is>
          <t>[6]</t>
        </is>
      </c>
      <c r="D11" s="111" t="inlineStr">
        <is>
          <t>Diamond Trust Bank (DTB, ticker DTK) — Price/Book (BVPS 377.77, share price 150.75)</t>
        </is>
      </c>
      <c r="E11" s="112" t="inlineStr">
        <is>
          <t>0.36x</t>
        </is>
      </c>
      <c r="F11" s="113">
        <f>HYPERLINK("https://stockanalysis.com/quote/nase/DTK/statistics/","StockAnalysis.com")</f>
        <v/>
      </c>
      <c r="G11" s="112" t="inlineStr">
        <is>
          <t>2026-07-24</t>
        </is>
      </c>
    </row>
    <row r="12" ht="26" customHeight="1">
      <c r="C12" s="10" t="inlineStr">
        <is>
          <t>[7]</t>
        </is>
      </c>
      <c r="D12" s="111" t="inlineStr">
        <is>
          <t>Equity Group Holdings — Price/Book (BVPS 86.57, share price 87.00)</t>
        </is>
      </c>
      <c r="E12" s="112" t="inlineStr">
        <is>
          <t>0.96x</t>
        </is>
      </c>
      <c r="F12" s="113">
        <f>HYPERLINK("https://stockanalysis.com/","StockAnalysis.com")</f>
        <v/>
      </c>
      <c r="G12" s="112" t="inlineStr">
        <is>
          <t>2026-07-24</t>
        </is>
      </c>
    </row>
    <row r="13" ht="26" customHeight="1">
      <c r="C13" s="10" t="inlineStr">
        <is>
          <t>[8]</t>
        </is>
      </c>
      <c r="D13" s="111" t="inlineStr">
        <is>
          <t>I&amp;M Group — Price/Book (Book Value Per Share KES 66; share price ~42.50, company chart)</t>
        </is>
      </c>
      <c r="E13" s="112" t="inlineStr">
        <is>
          <t>0.64x</t>
        </is>
      </c>
      <c r="F13" s="30" t="inlineStr">
        <is>
          <t>I&amp;M Group FY2025 Integrated Report, p.120</t>
        </is>
      </c>
      <c r="G13" s="112" t="inlineStr">
        <is>
          <t>2026-07-06</t>
        </is>
      </c>
    </row>
    <row r="14" ht="26" customHeight="1">
      <c r="C14" s="10" t="inlineStr">
        <is>
          <t>[9]</t>
        </is>
      </c>
      <c r="D14" s="111" t="inlineStr">
        <is>
          <t>KCB Group — Price/Book (BVPS 109.61, share price 82.50)</t>
        </is>
      </c>
      <c r="E14" s="112" t="inlineStr">
        <is>
          <t>0.73x</t>
        </is>
      </c>
      <c r="F14" s="113">
        <f>HYPERLINK("https://stockanalysis.com/","StockAnalysis.com")</f>
        <v/>
      </c>
      <c r="G14" s="112" t="inlineStr">
        <is>
          <t>2026-07-24</t>
        </is>
      </c>
    </row>
    <row r="15" ht="26" customHeight="1">
      <c r="C15" s="10" t="inlineStr">
        <is>
          <t>[10]</t>
        </is>
      </c>
      <c r="D15" s="111" t="inlineStr">
        <is>
          <t>NCBA Group — Price/Book (directly disclosed)</t>
        </is>
      </c>
      <c r="E15" s="112" t="inlineStr">
        <is>
          <t>1.2x</t>
        </is>
      </c>
      <c r="F15" s="30" t="inlineStr">
        <is>
          <t>NCBA Group Plc FY2025 Annual Integrated Report, p.32</t>
        </is>
      </c>
      <c r="G15" s="112" t="inlineStr">
        <is>
          <t>2026-07-06</t>
        </is>
      </c>
    </row>
    <row r="16" ht="26" customHeight="1">
      <c r="C16" s="10" t="inlineStr">
        <is>
          <t>[11]</t>
        </is>
      </c>
      <c r="D16" s="111" t="inlineStr">
        <is>
          <t>Stanbic Holdings — Price/Book (BVPS 202.74, share price 292.00)</t>
        </is>
      </c>
      <c r="E16" s="112" t="inlineStr">
        <is>
          <t>1.44x</t>
        </is>
      </c>
      <c r="F16" s="113">
        <f>HYPERLINK("https://stockanalysis.com/","StockAnalysis.com")</f>
        <v/>
      </c>
      <c r="G16" s="112" t="inlineStr">
        <is>
          <t>2026-07-24</t>
        </is>
      </c>
    </row>
    <row r="17" ht="26" customHeight="1">
      <c r="C17" s="10" t="inlineStr">
        <is>
          <t>[12]</t>
        </is>
      </c>
      <c r="D17" s="111" t="inlineStr">
        <is>
          <t>Standard Chartered Bank Kenya (ticker SCBK) — Price/Book (BVPS 184.79, share price 334.25)</t>
        </is>
      </c>
      <c r="E17" s="112" t="inlineStr">
        <is>
          <t>1.81x</t>
        </is>
      </c>
      <c r="F17" s="113">
        <f>HYPERLINK("https://stockanalysis.com/quote/nase/SCBK/statistics/","StockAnalysis.com")</f>
        <v/>
      </c>
      <c r="G17" s="112" t="inlineStr">
        <is>
          <t>2026-07-24</t>
        </is>
      </c>
    </row>
    <row r="19">
      <c r="C19" s="109" t="inlineStr">
        <is>
          <t>Convention: Item/Value cited, Source (publisher — hyperlinked where a URL is available), Accessed (date the figure was pulled). Matches standard equity-research citation practice — see research_output.md for the full research log behind each entry.</t>
        </is>
      </c>
    </row>
  </sheetData>
  <mergeCells count="1">
    <mergeCell ref="C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2026-08-02T11:21:05Z</dcterms:created>
  <dcterms:modified xsi:type="dcterms:W3CDTF">2026-08-02T11:21:06Z</dcterms:modified>
</cp:coreProperties>
</file>